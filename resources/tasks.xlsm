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50" windowWidth="27795" windowHeight="12075" activeTab="2"/>
  </bookViews>
  <sheets>
    <sheet name="Sheet2" sheetId="2" r:id="rId1"/>
    <sheet name="Sheet3" sheetId="3" r:id="rId2"/>
    <sheet name="WBS" sheetId="1" r:id="rId3"/>
  </sheets>
  <definedNames>
    <definedName name="CostRange">#REF!</definedName>
    <definedName name="CostRange2">#REF!</definedName>
    <definedName name="DateRange">#REF!</definedName>
    <definedName name="HoursRange">#REF!</definedName>
    <definedName name="NumberRange">#REF!</definedName>
  </definedNames>
  <calcPr calcId="145621"/>
</workbook>
</file>

<file path=xl/calcChain.xml><?xml version="1.0" encoding="utf-8"?>
<calcChain xmlns="http://schemas.openxmlformats.org/spreadsheetml/2006/main">
  <c r="V24" i="1" l="1" a="1"/>
  <c r="V24" i="1" s="1"/>
  <c r="U24" i="1"/>
  <c r="T24" i="1"/>
  <c r="S24" i="1"/>
  <c r="P24" i="1"/>
  <c r="R24" i="1" s="1"/>
  <c r="L24" i="1"/>
  <c r="K24" i="1"/>
  <c r="J24" i="1"/>
  <c r="H24" i="1"/>
  <c r="G24" i="1"/>
  <c r="F24" i="1"/>
  <c r="N24" i="1" s="1"/>
  <c r="D24" i="1"/>
  <c r="O24" i="1" s="1"/>
  <c r="Q24" i="1" s="1"/>
  <c r="V23" i="1" a="1"/>
  <c r="V23" i="1" s="1"/>
  <c r="U23" i="1"/>
  <c r="T23" i="1"/>
  <c r="S23" i="1"/>
  <c r="L23" i="1"/>
  <c r="K23" i="1"/>
  <c r="J23" i="1"/>
  <c r="H23" i="1"/>
  <c r="G23" i="1"/>
  <c r="F23" i="1"/>
  <c r="D23" i="1" s="1"/>
  <c r="O23" i="1" s="1"/>
  <c r="Q23" i="1" s="1"/>
  <c r="V22" i="1" a="1"/>
  <c r="V22" i="1" s="1"/>
  <c r="U22" i="1"/>
  <c r="T22" i="1"/>
  <c r="S22" i="1"/>
  <c r="L22" i="1"/>
  <c r="K22" i="1"/>
  <c r="J22" i="1"/>
  <c r="H22" i="1"/>
  <c r="G22" i="1"/>
  <c r="F22" i="1"/>
  <c r="D22" i="1" s="1"/>
  <c r="O22" i="1" s="1"/>
  <c r="Q22" i="1" s="1"/>
  <c r="V21" i="1" a="1"/>
  <c r="V21" i="1" s="1"/>
  <c r="U21" i="1"/>
  <c r="T21" i="1"/>
  <c r="S21" i="1"/>
  <c r="L21" i="1"/>
  <c r="K21" i="1"/>
  <c r="J21" i="1"/>
  <c r="H21" i="1"/>
  <c r="G21" i="1"/>
  <c r="F21" i="1"/>
  <c r="N21" i="1" s="1"/>
  <c r="P21" i="1" s="1"/>
  <c r="R21" i="1" s="1"/>
  <c r="V20" i="1" a="1"/>
  <c r="V20" i="1" s="1"/>
  <c r="U20" i="1"/>
  <c r="T20" i="1"/>
  <c r="S20" i="1"/>
  <c r="L20" i="1"/>
  <c r="K20" i="1"/>
  <c r="J20" i="1"/>
  <c r="H20" i="1"/>
  <c r="G20" i="1"/>
  <c r="F20" i="1"/>
  <c r="V19" i="1" a="1"/>
  <c r="V19" i="1" s="1"/>
  <c r="U19" i="1"/>
  <c r="T19" i="1"/>
  <c r="S19" i="1"/>
  <c r="P19" i="1"/>
  <c r="R19" i="1" s="1"/>
  <c r="O19" i="1"/>
  <c r="Q19" i="1" s="1"/>
  <c r="H19" i="1"/>
  <c r="V18" i="1" a="1"/>
  <c r="V18" i="1" s="1"/>
  <c r="U18" i="1"/>
  <c r="T18" i="1"/>
  <c r="S18" i="1"/>
  <c r="L18" i="1"/>
  <c r="K18" i="1"/>
  <c r="J18" i="1"/>
  <c r="H18" i="1"/>
  <c r="G18" i="1"/>
  <c r="F18" i="1"/>
  <c r="D18" i="1" s="1"/>
  <c r="O18" i="1" s="1"/>
  <c r="Q18" i="1" s="1"/>
  <c r="V17" i="1" a="1"/>
  <c r="V17" i="1" s="1"/>
  <c r="U17" i="1"/>
  <c r="T17" i="1"/>
  <c r="S17" i="1"/>
  <c r="L17" i="1"/>
  <c r="K17" i="1"/>
  <c r="J17" i="1"/>
  <c r="H17" i="1"/>
  <c r="G17" i="1"/>
  <c r="F17" i="1"/>
  <c r="N17" i="1" s="1"/>
  <c r="P17" i="1" s="1"/>
  <c r="R17" i="1" s="1"/>
  <c r="V16" i="1" a="1"/>
  <c r="V16" i="1" s="1"/>
  <c r="U16" i="1"/>
  <c r="T16" i="1"/>
  <c r="S16" i="1"/>
  <c r="L16" i="1"/>
  <c r="K16" i="1"/>
  <c r="J16" i="1"/>
  <c r="H16" i="1"/>
  <c r="G16" i="1"/>
  <c r="F16" i="1"/>
  <c r="N16" i="1" s="1"/>
  <c r="P16" i="1" s="1"/>
  <c r="R16" i="1" s="1"/>
  <c r="D16" i="1"/>
  <c r="O16" i="1" s="1"/>
  <c r="Q16" i="1" s="1"/>
  <c r="V15" i="1" a="1"/>
  <c r="V15" i="1" s="1"/>
  <c r="U15" i="1"/>
  <c r="T15" i="1"/>
  <c r="S15" i="1"/>
  <c r="L15" i="1"/>
  <c r="K15" i="1"/>
  <c r="J15" i="1"/>
  <c r="H15" i="1"/>
  <c r="G15" i="1"/>
  <c r="F15" i="1"/>
  <c r="D15" i="1" s="1"/>
  <c r="O15" i="1" s="1"/>
  <c r="Q15" i="1" s="1"/>
  <c r="V14" i="1" a="1"/>
  <c r="V14" i="1" s="1"/>
  <c r="U14" i="1"/>
  <c r="T14" i="1"/>
  <c r="S14" i="1"/>
  <c r="L14" i="1"/>
  <c r="K14" i="1"/>
  <c r="J14" i="1"/>
  <c r="H14" i="1"/>
  <c r="G14" i="1"/>
  <c r="F14" i="1"/>
  <c r="D14" i="1" s="1"/>
  <c r="O14" i="1" s="1"/>
  <c r="Q14" i="1" s="1"/>
  <c r="V13" i="1" a="1"/>
  <c r="V13" i="1" s="1"/>
  <c r="U13" i="1"/>
  <c r="T13" i="1"/>
  <c r="S13" i="1"/>
  <c r="L13" i="1"/>
  <c r="K13" i="1"/>
  <c r="J13" i="1"/>
  <c r="H13" i="1"/>
  <c r="G13" i="1"/>
  <c r="F13" i="1"/>
  <c r="N13" i="1" s="1"/>
  <c r="P13" i="1" s="1"/>
  <c r="R13" i="1" s="1"/>
  <c r="V12" i="1" a="1"/>
  <c r="V12" i="1" s="1"/>
  <c r="U12" i="1"/>
  <c r="T12" i="1"/>
  <c r="S12" i="1"/>
  <c r="L12" i="1"/>
  <c r="K12" i="1"/>
  <c r="J12" i="1"/>
  <c r="H12" i="1"/>
  <c r="G12" i="1"/>
  <c r="F12" i="1"/>
  <c r="D12" i="1" s="1"/>
  <c r="O12" i="1" s="1"/>
  <c r="Q12" i="1" s="1"/>
  <c r="V11" i="1" a="1"/>
  <c r="V11" i="1" s="1"/>
  <c r="U11" i="1"/>
  <c r="T11" i="1"/>
  <c r="S11" i="1"/>
  <c r="N11" i="1"/>
  <c r="P11" i="1" s="1"/>
  <c r="R11" i="1" s="1"/>
  <c r="L11" i="1"/>
  <c r="K11" i="1"/>
  <c r="J11" i="1"/>
  <c r="H11" i="1"/>
  <c r="G11" i="1"/>
  <c r="F11" i="1"/>
  <c r="D11" i="1"/>
  <c r="O11" i="1" s="1"/>
  <c r="Q11" i="1" s="1"/>
  <c r="V10" i="1" a="1"/>
  <c r="V10" i="1" s="1"/>
  <c r="U10" i="1"/>
  <c r="T10" i="1"/>
  <c r="S10" i="1"/>
  <c r="N10" i="1"/>
  <c r="P10" i="1" s="1"/>
  <c r="R10" i="1" s="1"/>
  <c r="L10" i="1"/>
  <c r="K10" i="1"/>
  <c r="J10" i="1"/>
  <c r="H10" i="1"/>
  <c r="G10" i="1"/>
  <c r="F10" i="1"/>
  <c r="D10" i="1" s="1"/>
  <c r="O10" i="1" s="1"/>
  <c r="Q10" i="1" s="1"/>
  <c r="V9" i="1" a="1"/>
  <c r="V9" i="1" s="1"/>
  <c r="U9" i="1"/>
  <c r="T9" i="1"/>
  <c r="S9" i="1"/>
  <c r="L9" i="1"/>
  <c r="K9" i="1"/>
  <c r="J9" i="1"/>
  <c r="H9" i="1"/>
  <c r="G9" i="1"/>
  <c r="F9" i="1"/>
  <c r="D9" i="1" s="1"/>
  <c r="O9" i="1" s="1"/>
  <c r="V8" i="1" a="1"/>
  <c r="V8" i="1" s="1"/>
  <c r="V1" i="1" s="1"/>
  <c r="V2" i="1" s="1"/>
  <c r="U8" i="1"/>
  <c r="U1" i="1" s="1"/>
  <c r="T8" i="1"/>
  <c r="T1" i="1" s="1"/>
  <c r="S8" i="1"/>
  <c r="S1" i="1" s="1"/>
  <c r="S2" i="1" s="1"/>
  <c r="P8" i="1"/>
  <c r="R8" i="1" s="1"/>
  <c r="O8" i="1"/>
  <c r="Q8" i="1" s="1"/>
  <c r="M5" i="1"/>
  <c r="L5" i="1"/>
  <c r="K5" i="1"/>
  <c r="J5" i="1"/>
  <c r="I1" i="1"/>
  <c r="H1" i="1"/>
  <c r="G1" i="1"/>
  <c r="F1" i="1"/>
  <c r="N9" i="1" l="1"/>
  <c r="N1" i="1" s="1"/>
  <c r="N3" i="1" s="1"/>
  <c r="D17" i="1"/>
  <c r="O17" i="1" s="1"/>
  <c r="Q17" i="1" s="1"/>
  <c r="N18" i="1"/>
  <c r="P18" i="1" s="1"/>
  <c r="R18" i="1" s="1"/>
  <c r="D13" i="1"/>
  <c r="O13" i="1" s="1"/>
  <c r="Q13" i="1" s="1"/>
  <c r="N14" i="1"/>
  <c r="P14" i="1" s="1"/>
  <c r="R14" i="1" s="1"/>
  <c r="N22" i="1"/>
  <c r="P22" i="1" s="1"/>
  <c r="R22" i="1" s="1"/>
  <c r="Q9" i="1"/>
  <c r="Q1" i="1" s="1"/>
  <c r="Q2" i="1" s="1"/>
  <c r="O1" i="1"/>
  <c r="O2" i="1" s="1"/>
  <c r="N15" i="1"/>
  <c r="P15" i="1" s="1"/>
  <c r="R15" i="1" s="1"/>
  <c r="D1" i="1"/>
  <c r="D21" i="1"/>
  <c r="O21" i="1" s="1"/>
  <c r="Q21" i="1" s="1"/>
  <c r="N12" i="1"/>
  <c r="P12" i="1" s="1"/>
  <c r="R12" i="1" s="1"/>
  <c r="D20" i="1"/>
  <c r="O20" i="1" s="1"/>
  <c r="Q20" i="1" s="1"/>
  <c r="N20" i="1"/>
  <c r="P20" i="1" s="1"/>
  <c r="R20" i="1" s="1"/>
  <c r="N23" i="1"/>
  <c r="P23" i="1" s="1"/>
  <c r="R23" i="1" s="1"/>
  <c r="P9" i="1" l="1"/>
  <c r="D3" i="1"/>
  <c r="D2" i="1"/>
  <c r="R9" i="1"/>
  <c r="R1" i="1" s="1"/>
  <c r="P1" i="1"/>
</calcChain>
</file>

<file path=xl/comments1.xml><?xml version="1.0" encoding="utf-8"?>
<comments xmlns="http://schemas.openxmlformats.org/spreadsheetml/2006/main">
  <authors>
    <author>John Clemit</author>
  </authors>
  <commentList>
    <comment ref="V4" authorId="0">
      <text>
        <r>
          <rPr>
            <sz val="8"/>
            <color indexed="81"/>
            <rFont val="Tahoma"/>
            <family val="2"/>
          </rPr>
          <t>The Deferred Effort Date - Used to drive value for re-allocated effort.</t>
        </r>
      </text>
    </comment>
  </commentList>
</comments>
</file>

<file path=xl/sharedStrings.xml><?xml version="1.0" encoding="utf-8"?>
<sst xmlns="http://schemas.openxmlformats.org/spreadsheetml/2006/main" count="100" uniqueCount="60">
  <si>
    <t>Filtered Totals</t>
  </si>
  <si>
    <r>
      <t>Man Day</t>
    </r>
    <r>
      <rPr>
        <b/>
        <sz val="10"/>
        <rFont val="Arial"/>
        <family val="2"/>
      </rPr>
      <t xml:space="preserve"> Totals</t>
    </r>
  </si>
  <si>
    <t>BoE to Budget Checks</t>
  </si>
  <si>
    <t>Budget Year</t>
  </si>
  <si>
    <t>Status</t>
  </si>
  <si>
    <t>Number</t>
  </si>
  <si>
    <t>Description</t>
  </si>
  <si>
    <t>Original Budget</t>
  </si>
  <si>
    <t>Current Budget</t>
  </si>
  <si>
    <t>Budget Change</t>
  </si>
  <si>
    <t>ACWP</t>
  </si>
  <si>
    <t>Month</t>
  </si>
  <si>
    <t>Hours</t>
  </si>
  <si>
    <t>Grade</t>
  </si>
  <si>
    <t>Rate</t>
  </si>
  <si>
    <t>Tier 1</t>
  </si>
  <si>
    <t>AFR</t>
  </si>
  <si>
    <t>Not Bookable</t>
  </si>
  <si>
    <t>D015621</t>
  </si>
  <si>
    <t>Typhoon KSA</t>
  </si>
  <si>
    <t>D015621PM</t>
  </si>
  <si>
    <t>Project Management</t>
  </si>
  <si>
    <t>Open</t>
  </si>
  <si>
    <t>D015621PMCM</t>
  </si>
  <si>
    <t xml:space="preserve"> Project CM</t>
  </si>
  <si>
    <t>CE3</t>
  </si>
  <si>
    <t>D015621PMSE</t>
  </si>
  <si>
    <t xml:space="preserve"> Systems Engineer</t>
  </si>
  <si>
    <t>CE4</t>
  </si>
  <si>
    <t>D015621PMPG</t>
  </si>
  <si>
    <t xml:space="preserve"> Project Governance</t>
  </si>
  <si>
    <t>MG2</t>
  </si>
  <si>
    <t>D015621PMPM</t>
  </si>
  <si>
    <t xml:space="preserve"> Project Monitor/Control</t>
  </si>
  <si>
    <t>MG1</t>
  </si>
  <si>
    <t>D015621PMST</t>
  </si>
  <si>
    <t xml:space="preserve"> Project Start-Up</t>
  </si>
  <si>
    <t>D015621PMTE</t>
  </si>
  <si>
    <t xml:space="preserve"> Team Leading</t>
  </si>
  <si>
    <t>D015621PMTG</t>
  </si>
  <si>
    <t xml:space="preserve"> Technical Governance</t>
  </si>
  <si>
    <t>CE5</t>
  </si>
  <si>
    <t>D015621PMTL</t>
  </si>
  <si>
    <t xml:space="preserve"> Technical Lead</t>
  </si>
  <si>
    <t>D015621PMID</t>
  </si>
  <si>
    <t>Indirect</t>
  </si>
  <si>
    <t>D015621PMBS</t>
  </si>
  <si>
    <t>Bid Support</t>
  </si>
  <si>
    <t>D015621MS</t>
  </si>
  <si>
    <t xml:space="preserve"> Miscellaneous</t>
  </si>
  <si>
    <t>D015621MSSD</t>
  </si>
  <si>
    <t xml:space="preserve"> Standard Documentation</t>
  </si>
  <si>
    <t>D015621MSMD</t>
  </si>
  <si>
    <t>Management Documentation</t>
  </si>
  <si>
    <t>D015621MTM</t>
  </si>
  <si>
    <t>Team Meetings</t>
  </si>
  <si>
    <t>D015621MSR</t>
  </si>
  <si>
    <t>Sprint Reviews</t>
  </si>
  <si>
    <t>D015621MSTR</t>
  </si>
  <si>
    <t>UK Travel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</si>
</sst>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0"/>
    <numFmt numFmtId="165" formatCode="&quot;£&quot;#,##0.00"/>
    <numFmt numFmtId="166" formatCode="&quot;£&quot;#,##0"/>
    <numFmt numFmtId="167" formatCode="0.0"/>
    <numFmt numFmtId="168" formatCode="d/m/yy;@"/>
    <numFmt numFmtId="169" formatCode="_-[$£-809]* #,##0.000000_-;\-[$£-809]* #,##0.000000_-;_-[$£-809]* &quot;-&quot;??_-;_-@_-"/>
    <numFmt numFmtId="170" formatCode="[Red]0;[Blue]\-0;\-"/>
    <numFmt numFmtId="171" formatCode="[Red]&quot;£&quot;0.00;[Blue]\-&quot;£&quot;0.00;\-"/>
  </numFmts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sz val="10"/>
      <color indexed="18"/>
      <name val="Arial"/>
      <family val="2"/>
    </font>
    <font>
      <sz val="10"/>
      <color indexed="20"/>
      <name val="Arial"/>
      <family val="2"/>
    </font>
    <font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Fill="1" applyBorder="1"/>
    <xf numFmtId="164" fontId="0" fillId="0" borderId="0" xfId="0" applyNumberFormat="1"/>
    <xf numFmtId="0" fontId="1" fillId="0" borderId="1" xfId="0" applyFont="1" applyFill="1" applyBorder="1" applyAlignment="1" applyProtection="1">
      <alignment horizontal="right"/>
      <protection locked="0"/>
    </xf>
    <xf numFmtId="1" fontId="0" fillId="0" borderId="2" xfId="0" applyNumberFormat="1" applyFill="1" applyBorder="1" applyProtection="1">
      <protection locked="0"/>
    </xf>
    <xf numFmtId="1" fontId="0" fillId="0" borderId="3" xfId="0" applyNumberFormat="1" applyFill="1" applyBorder="1" applyProtection="1">
      <protection locked="0"/>
    </xf>
    <xf numFmtId="164" fontId="2" fillId="0" borderId="0" xfId="0" applyNumberFormat="1" applyFont="1"/>
    <xf numFmtId="0" fontId="3" fillId="0" borderId="1" xfId="0" applyFont="1" applyFill="1" applyBorder="1" applyAlignment="1" applyProtection="1">
      <alignment horizontal="right"/>
      <protection locked="0"/>
    </xf>
    <xf numFmtId="1" fontId="4" fillId="0" borderId="1" xfId="0" applyNumberFormat="1" applyFont="1" applyFill="1" applyBorder="1" applyProtection="1">
      <protection locked="0"/>
    </xf>
    <xf numFmtId="2" fontId="0" fillId="0" borderId="4" xfId="0" applyNumberFormat="1" applyFill="1" applyBorder="1" applyProtection="1">
      <protection locked="0"/>
    </xf>
    <xf numFmtId="1" fontId="4" fillId="0" borderId="4" xfId="0" applyNumberFormat="1" applyFont="1" applyFill="1" applyBorder="1" applyProtection="1">
      <protection locked="0"/>
    </xf>
    <xf numFmtId="165" fontId="5" fillId="0" borderId="5" xfId="0" applyNumberFormat="1" applyFont="1" applyFill="1" applyBorder="1" applyProtection="1">
      <protection locked="0"/>
    </xf>
    <xf numFmtId="166" fontId="5" fillId="0" borderId="5" xfId="0" applyNumberFormat="1" applyFont="1" applyFill="1" applyBorder="1" applyProtection="1">
      <protection locked="0"/>
    </xf>
    <xf numFmtId="166" fontId="1" fillId="0" borderId="2" xfId="0" applyNumberFormat="1" applyFont="1" applyBorder="1" applyAlignment="1" applyProtection="1">
      <alignment horizontal="right"/>
      <protection locked="0"/>
    </xf>
    <xf numFmtId="2" fontId="0" fillId="0" borderId="2" xfId="0" applyNumberFormat="1" applyFill="1" applyBorder="1"/>
    <xf numFmtId="0" fontId="2" fillId="0" borderId="0" xfId="0" applyFont="1" applyFill="1" applyBorder="1" applyAlignment="1" applyProtection="1">
      <alignment horizontal="right"/>
      <protection locked="0"/>
    </xf>
    <xf numFmtId="1" fontId="2" fillId="0" borderId="0" xfId="0" applyNumberFormat="1" applyFont="1" applyFill="1" applyBorder="1" applyProtection="1">
      <protection locked="0"/>
    </xf>
    <xf numFmtId="165" fontId="0" fillId="0" borderId="2" xfId="0" applyNumberFormat="1" applyFill="1" applyBorder="1"/>
    <xf numFmtId="167" fontId="0" fillId="0" borderId="3" xfId="0" applyNumberFormat="1" applyFill="1" applyBorder="1" applyProtection="1">
      <protection locked="0"/>
    </xf>
    <xf numFmtId="166" fontId="0" fillId="0" borderId="3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1" fontId="1" fillId="0" borderId="0" xfId="0" applyNumberFormat="1" applyFont="1" applyFill="1" applyBorder="1" applyProtection="1">
      <protection locked="0"/>
    </xf>
    <xf numFmtId="2" fontId="2" fillId="0" borderId="0" xfId="0" applyNumberFormat="1" applyFont="1" applyFill="1" applyBorder="1" applyProtection="1">
      <protection locked="0"/>
    </xf>
    <xf numFmtId="165" fontId="0" fillId="0" borderId="0" xfId="0" applyNumberFormat="1" applyFill="1" applyBorder="1" applyProtection="1">
      <protection locked="0"/>
    </xf>
    <xf numFmtId="167" fontId="0" fillId="0" borderId="0" xfId="0" applyNumberFormat="1" applyFill="1" applyBorder="1" applyProtection="1">
      <protection locked="0"/>
    </xf>
    <xf numFmtId="168" fontId="0" fillId="2" borderId="0" xfId="0" applyNumberFormat="1" applyFill="1" applyBorder="1" applyProtection="1">
      <protection locked="0"/>
    </xf>
    <xf numFmtId="0" fontId="1" fillId="0" borderId="0" xfId="0" applyFont="1" applyFill="1"/>
    <xf numFmtId="0" fontId="1" fillId="0" borderId="6" xfId="0" applyFont="1" applyFill="1" applyBorder="1" applyProtection="1">
      <protection locked="0"/>
    </xf>
    <xf numFmtId="0" fontId="1" fillId="0" borderId="7" xfId="0" applyFont="1" applyFill="1" applyBorder="1" applyProtection="1">
      <protection locked="0"/>
    </xf>
    <xf numFmtId="1" fontId="1" fillId="3" borderId="3" xfId="0" applyNumberFormat="1" applyFont="1" applyFill="1" applyBorder="1" applyProtection="1">
      <protection locked="0"/>
    </xf>
    <xf numFmtId="165" fontId="1" fillId="3" borderId="7" xfId="0" applyNumberFormat="1" applyFont="1" applyFill="1" applyBorder="1" applyProtection="1">
      <protection locked="0"/>
    </xf>
    <xf numFmtId="167" fontId="1" fillId="0" borderId="6" xfId="0" applyNumberFormat="1" applyFont="1" applyFill="1" applyBorder="1" applyProtection="1">
      <protection locked="0"/>
    </xf>
    <xf numFmtId="166" fontId="1" fillId="0" borderId="7" xfId="0" applyNumberFormat="1" applyFont="1" applyFill="1" applyBorder="1" applyProtection="1">
      <protection locked="0"/>
    </xf>
    <xf numFmtId="166" fontId="1" fillId="0" borderId="3" xfId="0" applyNumberFormat="1" applyFont="1" applyFill="1" applyBorder="1" applyProtection="1">
      <protection locked="0"/>
    </xf>
    <xf numFmtId="167" fontId="1" fillId="0" borderId="3" xfId="0" applyNumberFormat="1" applyFont="1" applyFill="1" applyBorder="1" applyProtection="1">
      <protection locked="0"/>
    </xf>
    <xf numFmtId="0" fontId="1" fillId="0" borderId="8" xfId="0" applyFont="1" applyFill="1" applyBorder="1" applyProtection="1">
      <protection locked="0"/>
    </xf>
    <xf numFmtId="0" fontId="1" fillId="0" borderId="9" xfId="0" applyFont="1" applyFill="1" applyBorder="1" applyProtection="1">
      <protection locked="0"/>
    </xf>
    <xf numFmtId="1" fontId="1" fillId="3" borderId="10" xfId="0" applyNumberFormat="1" applyFont="1" applyFill="1" applyBorder="1" applyProtection="1">
      <protection locked="0"/>
    </xf>
    <xf numFmtId="165" fontId="1" fillId="3" borderId="11" xfId="0" applyNumberFormat="1" applyFont="1" applyFill="1" applyBorder="1" applyProtection="1">
      <protection locked="0"/>
    </xf>
    <xf numFmtId="167" fontId="1" fillId="0" borderId="12" xfId="0" applyNumberFormat="1" applyFont="1" applyFill="1" applyBorder="1" applyProtection="1">
      <protection locked="0"/>
    </xf>
    <xf numFmtId="166" fontId="1" fillId="0" borderId="11" xfId="0" applyNumberFormat="1" applyFont="1" applyFill="1" applyBorder="1" applyProtection="1">
      <protection locked="0"/>
    </xf>
    <xf numFmtId="0" fontId="1" fillId="4" borderId="8" xfId="0" applyFont="1" applyFill="1" applyBorder="1" applyAlignment="1" applyProtection="1">
      <alignment horizontal="left"/>
      <protection locked="0"/>
    </xf>
    <xf numFmtId="0" fontId="1" fillId="4" borderId="9" xfId="0" applyFont="1" applyFill="1" applyBorder="1" applyAlignment="1" applyProtection="1">
      <alignment horizontal="left"/>
      <protection locked="0"/>
    </xf>
    <xf numFmtId="167" fontId="0" fillId="3" borderId="0" xfId="0" applyNumberFormat="1" applyFill="1" applyBorder="1" applyProtection="1"/>
    <xf numFmtId="1" fontId="2" fillId="3" borderId="0" xfId="0" applyNumberFormat="1" applyFont="1" applyFill="1" applyBorder="1" applyAlignment="1" applyProtection="1">
      <alignment horizontal="center"/>
    </xf>
    <xf numFmtId="165" fontId="0" fillId="3" borderId="0" xfId="0" applyNumberFormat="1" applyFill="1" applyBorder="1" applyProtection="1"/>
    <xf numFmtId="165" fontId="0" fillId="3" borderId="9" xfId="0" applyNumberFormat="1" applyFill="1" applyBorder="1" applyProtection="1"/>
    <xf numFmtId="167" fontId="0" fillId="4" borderId="8" xfId="0" applyNumberFormat="1" applyFill="1" applyBorder="1" applyProtection="1">
      <protection locked="0"/>
    </xf>
    <xf numFmtId="166" fontId="0" fillId="4" borderId="9" xfId="0" applyNumberFormat="1" applyFill="1" applyBorder="1" applyProtection="1">
      <protection locked="0"/>
    </xf>
    <xf numFmtId="166" fontId="0" fillId="4" borderId="0" xfId="0" applyNumberFormat="1" applyFill="1" applyBorder="1" applyProtection="1">
      <protection locked="0"/>
    </xf>
    <xf numFmtId="169" fontId="1" fillId="5" borderId="8" xfId="0" applyNumberFormat="1" applyFont="1" applyFill="1" applyBorder="1" applyAlignment="1" applyProtection="1">
      <alignment horizontal="left" indent="1"/>
      <protection locked="0"/>
    </xf>
    <xf numFmtId="169" fontId="1" fillId="5" borderId="9" xfId="0" applyNumberFormat="1" applyFont="1" applyFill="1" applyBorder="1" applyAlignment="1" applyProtection="1">
      <alignment horizontal="left" indent="1"/>
      <protection locked="0"/>
    </xf>
    <xf numFmtId="167" fontId="0" fillId="5" borderId="8" xfId="0" applyNumberFormat="1" applyFill="1" applyBorder="1" applyProtection="1">
      <protection locked="0"/>
    </xf>
    <xf numFmtId="166" fontId="0" fillId="5" borderId="9" xfId="0" applyNumberFormat="1" applyFill="1" applyBorder="1" applyProtection="1">
      <protection locked="0"/>
    </xf>
    <xf numFmtId="170" fontId="0" fillId="5" borderId="8" xfId="0" applyNumberFormat="1" applyFill="1" applyBorder="1" applyProtection="1">
      <protection locked="0"/>
    </xf>
    <xf numFmtId="171" fontId="0" fillId="5" borderId="0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9" fontId="2" fillId="6" borderId="8" xfId="0" applyNumberFormat="1" applyFont="1" applyFill="1" applyBorder="1" applyAlignment="1" applyProtection="1">
      <alignment horizontal="left" indent="2"/>
      <protection locked="0"/>
    </xf>
    <xf numFmtId="169" fontId="2" fillId="6" borderId="9" xfId="0" applyNumberFormat="1" applyFont="1" applyFill="1" applyBorder="1" applyAlignment="1" applyProtection="1">
      <alignment horizontal="left" indent="2"/>
      <protection locked="0"/>
    </xf>
    <xf numFmtId="167" fontId="0" fillId="6" borderId="8" xfId="0" applyNumberFormat="1" applyFill="1" applyBorder="1" applyProtection="1">
      <protection locked="0"/>
    </xf>
    <xf numFmtId="166" fontId="0" fillId="6" borderId="9" xfId="0" applyNumberFormat="1" applyFill="1" applyBorder="1" applyProtection="1">
      <protection locked="0"/>
    </xf>
    <xf numFmtId="170" fontId="0" fillId="6" borderId="8" xfId="0" applyNumberFormat="1" applyFill="1" applyBorder="1" applyProtection="1">
      <protection locked="0"/>
    </xf>
    <xf numFmtId="171" fontId="0" fillId="6" borderId="0" xfId="0" applyNumberFormat="1" applyFill="1" applyBorder="1" applyProtection="1">
      <protection locked="0"/>
    </xf>
    <xf numFmtId="166" fontId="0" fillId="6" borderId="0" xfId="0" applyNumberFormat="1" applyFill="1" applyBorder="1" applyProtection="1">
      <protection locked="0"/>
    </xf>
    <xf numFmtId="169" fontId="2" fillId="5" borderId="8" xfId="0" applyNumberFormat="1" applyFont="1" applyFill="1" applyBorder="1" applyAlignment="1" applyProtection="1">
      <alignment horizontal="left" indent="2"/>
      <protection locked="0"/>
    </xf>
    <xf numFmtId="169" fontId="2" fillId="5" borderId="9" xfId="0" applyNumberFormat="1" applyFont="1" applyFill="1" applyBorder="1" applyAlignment="1" applyProtection="1">
      <alignment horizontal="left" indent="2"/>
      <protection locked="0"/>
    </xf>
    <xf numFmtId="0" fontId="2" fillId="6" borderId="8" xfId="0" applyFont="1" applyFill="1" applyBorder="1" applyAlignment="1" applyProtection="1">
      <alignment horizontal="left" indent="2"/>
      <protection locked="0"/>
    </xf>
    <xf numFmtId="0" fontId="2" fillId="6" borderId="9" xfId="0" applyFont="1" applyFill="1" applyBorder="1" applyAlignment="1" applyProtection="1">
      <alignment horizontal="left" indent="2"/>
      <protection locked="0"/>
    </xf>
    <xf numFmtId="0" fontId="2" fillId="5" borderId="8" xfId="0" applyFont="1" applyFill="1" applyBorder="1" applyAlignment="1" applyProtection="1">
      <alignment horizontal="left" indent="2"/>
      <protection locked="0"/>
    </xf>
    <xf numFmtId="0" fontId="2" fillId="5" borderId="9" xfId="0" applyFont="1" applyFill="1" applyBorder="1" applyAlignment="1" applyProtection="1">
      <alignment horizontal="left" indent="2"/>
      <protection locked="0"/>
    </xf>
    <xf numFmtId="0" fontId="0" fillId="0" borderId="0" xfId="0" applyFill="1"/>
    <xf numFmtId="1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24"/>
  <sheetViews>
    <sheetView tabSelected="1" workbookViewId="0">
      <selection activeCell="C34" sqref="C34"/>
    </sheetView>
  </sheetViews>
  <sheetFormatPr defaultRowHeight="15" outlineLevelCol="1" x14ac:dyDescent="0.25"/>
  <cols>
    <col min="1" max="1" width="14" style="70" bestFit="1" customWidth="1"/>
    <col min="2" max="2" width="27.7109375" customWidth="1"/>
    <col min="3" max="3" width="44.28515625" bestFit="1" customWidth="1"/>
    <col min="4" max="4" width="15.5703125" style="71" customWidth="1" outlineLevel="1"/>
    <col min="5" max="5" width="8.5703125" customWidth="1" outlineLevel="1"/>
    <col min="6" max="13" width="7.5703125" style="71" customWidth="1" outlineLevel="1"/>
    <col min="14" max="14" width="13.85546875" style="72" customWidth="1" outlineLevel="1"/>
    <col min="15" max="15" width="17.28515625" bestFit="1" customWidth="1"/>
    <col min="16" max="16" width="13.42578125" bestFit="1" customWidth="1"/>
    <col min="17" max="17" width="9.7109375" customWidth="1" outlineLevel="1"/>
    <col min="18" max="18" width="13.42578125" customWidth="1" outlineLevel="1"/>
    <col min="19" max="19" width="13.42578125" bestFit="1" customWidth="1"/>
    <col min="20" max="20" width="9.5703125" bestFit="1" customWidth="1"/>
    <col min="21" max="21" width="11" bestFit="1" customWidth="1"/>
    <col min="22" max="22" width="7.7109375" customWidth="1"/>
  </cols>
  <sheetData>
    <row r="1" spans="1:22" ht="15.75" thickBot="1" x14ac:dyDescent="0.3">
      <c r="A1" s="1"/>
      <c r="B1" s="2"/>
      <c r="C1" s="3" t="s">
        <v>0</v>
      </c>
      <c r="D1" s="4" t="e">
        <f>SUBTOTAL(9,D7:D24)</f>
        <v>#REF!</v>
      </c>
      <c r="E1" s="5"/>
      <c r="F1" s="4" t="e">
        <f>SUBTOTAL(9,F7:F24)</f>
        <v>#REF!</v>
      </c>
      <c r="G1" s="4" t="e">
        <f>SUBTOTAL(9,G7:G24)</f>
        <v>#REF!</v>
      </c>
      <c r="H1" s="4" t="e">
        <f>SUBTOTAL(9,H7:H24)</f>
        <v>#REF!</v>
      </c>
      <c r="I1" s="4">
        <f>SUBTOTAL(9,I7:I24)</f>
        <v>0</v>
      </c>
      <c r="J1" s="5"/>
      <c r="K1" s="5"/>
      <c r="L1" s="5"/>
      <c r="M1" s="5"/>
      <c r="N1" s="4" t="e">
        <f>SUBTOTAL(9,N7:N24)</f>
        <v>#REF!</v>
      </c>
      <c r="O1" s="4" t="e">
        <f>SUBTOTAL(9,O7:O24)</f>
        <v>#REF!</v>
      </c>
      <c r="P1" s="4" t="e">
        <f>SUBTOTAL(9,P7:P24)</f>
        <v>#REF!</v>
      </c>
      <c r="Q1" s="4" t="e">
        <f>SUBTOTAL(9,Q7:Q24)</f>
        <v>#REF!</v>
      </c>
      <c r="R1" s="4" t="e">
        <f>SUBTOTAL(9,R7:R24)</f>
        <v>#REF!</v>
      </c>
      <c r="S1" s="4" t="e">
        <f>SUBTOTAL(9,S7:S24)</f>
        <v>#REF!</v>
      </c>
      <c r="T1" s="4" t="e">
        <f>SUBTOTAL(9,T7:T24)</f>
        <v>#REF!</v>
      </c>
      <c r="U1" s="4" t="e">
        <f>SUBTOTAL(9,U7:U24)</f>
        <v>#REF!</v>
      </c>
      <c r="V1" s="4" t="e">
        <f>SUBTOTAL(9,V7:V24)</f>
        <v>#REF!</v>
      </c>
    </row>
    <row r="2" spans="1:22" ht="15.75" thickBot="1" x14ac:dyDescent="0.3">
      <c r="A2" s="1"/>
      <c r="B2" s="6"/>
      <c r="C2" s="7" t="s">
        <v>1</v>
      </c>
      <c r="D2" s="8" t="e">
        <f>D1/7.5</f>
        <v>#REF!</v>
      </c>
      <c r="E2" s="9"/>
      <c r="F2" s="10"/>
      <c r="G2" s="10"/>
      <c r="H2" s="10"/>
      <c r="I2" s="10"/>
      <c r="J2" s="10"/>
      <c r="K2" s="10"/>
      <c r="L2" s="10"/>
      <c r="M2" s="10"/>
      <c r="N2" s="11"/>
      <c r="O2" s="10" t="e">
        <f>O1/7.5</f>
        <v>#REF!</v>
      </c>
      <c r="P2" s="12"/>
      <c r="Q2" s="10" t="e">
        <f>Q1/7.5</f>
        <v>#REF!</v>
      </c>
      <c r="R2" s="12"/>
      <c r="S2" s="8" t="e">
        <f>S1/7.5</f>
        <v>#REF!</v>
      </c>
      <c r="T2" s="10"/>
      <c r="U2" s="12"/>
      <c r="V2" s="8" t="e">
        <f>V1/7.5</f>
        <v>#REF!</v>
      </c>
    </row>
    <row r="3" spans="1:22" ht="15.75" thickBot="1" x14ac:dyDescent="0.3">
      <c r="A3" s="1"/>
      <c r="B3" s="2"/>
      <c r="C3" s="13" t="s">
        <v>2</v>
      </c>
      <c r="D3" s="14" t="e">
        <f>D1-#REF!-#REF!</f>
        <v>#REF!</v>
      </c>
      <c r="E3" s="15"/>
      <c r="F3" s="16"/>
      <c r="G3" s="16"/>
      <c r="H3" s="16"/>
      <c r="I3" s="16"/>
      <c r="J3" s="16"/>
      <c r="K3" s="16"/>
      <c r="L3" s="16"/>
      <c r="M3" s="16"/>
      <c r="N3" s="17" t="e">
        <f>N1-#REF!-#REF!</f>
        <v>#REF!</v>
      </c>
      <c r="O3" s="18"/>
      <c r="P3" s="19"/>
      <c r="Q3" s="19"/>
      <c r="R3" s="19"/>
      <c r="S3" s="18"/>
      <c r="T3" s="18"/>
      <c r="U3" s="19"/>
      <c r="V3" s="18"/>
    </row>
    <row r="4" spans="1:22" ht="15.75" thickBot="1" x14ac:dyDescent="0.3">
      <c r="A4" s="1"/>
      <c r="B4" s="20"/>
      <c r="C4" s="20"/>
      <c r="D4" s="21" t="s">
        <v>3</v>
      </c>
      <c r="E4" s="22"/>
      <c r="F4" s="21"/>
      <c r="G4" s="21"/>
      <c r="H4" s="21"/>
      <c r="I4" s="21"/>
      <c r="J4" s="21"/>
      <c r="K4" s="21"/>
      <c r="L4" s="21"/>
      <c r="M4" s="21"/>
      <c r="N4" s="23"/>
      <c r="O4" s="24"/>
      <c r="P4" s="24"/>
      <c r="Q4" s="24"/>
      <c r="R4" s="24"/>
      <c r="S4" s="24"/>
      <c r="T4" s="24"/>
      <c r="U4" s="24"/>
      <c r="V4" s="25">
        <v>42491</v>
      </c>
    </row>
    <row r="5" spans="1:22" x14ac:dyDescent="0.25">
      <c r="A5" s="26" t="s">
        <v>4</v>
      </c>
      <c r="B5" s="27" t="s">
        <v>5</v>
      </c>
      <c r="C5" s="28" t="s">
        <v>6</v>
      </c>
      <c r="D5" s="29" t="s">
        <v>7</v>
      </c>
      <c r="E5" s="29"/>
      <c r="F5" s="29">
        <v>2016</v>
      </c>
      <c r="G5" s="29">
        <v>2017</v>
      </c>
      <c r="H5" s="29">
        <v>2018</v>
      </c>
      <c r="I5" s="29">
        <v>2019</v>
      </c>
      <c r="J5" s="29">
        <f>F5</f>
        <v>2016</v>
      </c>
      <c r="K5" s="29">
        <f>G5</f>
        <v>2017</v>
      </c>
      <c r="L5" s="29">
        <f>H5</f>
        <v>2018</v>
      </c>
      <c r="M5" s="29">
        <f>I5</f>
        <v>2019</v>
      </c>
      <c r="N5" s="30"/>
      <c r="O5" s="31" t="s">
        <v>8</v>
      </c>
      <c r="P5" s="32"/>
      <c r="Q5" s="33" t="s">
        <v>9</v>
      </c>
      <c r="R5" s="33"/>
      <c r="S5" s="31" t="s">
        <v>10</v>
      </c>
      <c r="T5" s="34"/>
      <c r="U5" s="32"/>
      <c r="V5" s="31" t="s">
        <v>11</v>
      </c>
    </row>
    <row r="6" spans="1:22" ht="15.75" thickBot="1" x14ac:dyDescent="0.3">
      <c r="A6" s="26"/>
      <c r="B6" s="35"/>
      <c r="C6" s="36"/>
      <c r="D6" s="37" t="s">
        <v>12</v>
      </c>
      <c r="E6" s="37" t="s">
        <v>13</v>
      </c>
      <c r="F6" s="37" t="s">
        <v>12</v>
      </c>
      <c r="G6" s="37" t="s">
        <v>12</v>
      </c>
      <c r="H6" s="37" t="s">
        <v>12</v>
      </c>
      <c r="I6" s="37" t="s">
        <v>12</v>
      </c>
      <c r="J6" s="37" t="s">
        <v>14</v>
      </c>
      <c r="K6" s="37" t="s">
        <v>14</v>
      </c>
      <c r="L6" s="37" t="s">
        <v>14</v>
      </c>
      <c r="M6" s="37" t="s">
        <v>14</v>
      </c>
      <c r="N6" s="38" t="s">
        <v>15</v>
      </c>
      <c r="O6" s="39" t="s">
        <v>12</v>
      </c>
      <c r="P6" s="40" t="s">
        <v>15</v>
      </c>
      <c r="Q6" s="39" t="s">
        <v>12</v>
      </c>
      <c r="R6" s="40" t="s">
        <v>15</v>
      </c>
      <c r="S6" s="39" t="s">
        <v>12</v>
      </c>
      <c r="T6" s="40" t="s">
        <v>15</v>
      </c>
      <c r="U6" s="40" t="s">
        <v>16</v>
      </c>
      <c r="V6" s="39" t="s">
        <v>12</v>
      </c>
    </row>
    <row r="7" spans="1:22" x14ac:dyDescent="0.25">
      <c r="A7" s="26" t="s">
        <v>17</v>
      </c>
      <c r="B7" s="41" t="s">
        <v>18</v>
      </c>
      <c r="C7" s="42" t="s">
        <v>19</v>
      </c>
      <c r="D7" s="43"/>
      <c r="E7" s="44"/>
      <c r="F7" s="43"/>
      <c r="G7" s="43"/>
      <c r="H7" s="43"/>
      <c r="I7" s="43"/>
      <c r="J7" s="45"/>
      <c r="K7" s="45"/>
      <c r="L7" s="45"/>
      <c r="M7" s="45"/>
      <c r="N7" s="46"/>
      <c r="O7" s="47"/>
      <c r="P7" s="48"/>
      <c r="Q7" s="47"/>
      <c r="R7" s="48"/>
      <c r="S7" s="47"/>
      <c r="T7" s="49"/>
      <c r="U7" s="48"/>
      <c r="V7" s="47"/>
    </row>
    <row r="8" spans="1:22" x14ac:dyDescent="0.25">
      <c r="A8" s="26" t="s">
        <v>17</v>
      </c>
      <c r="B8" s="50" t="s">
        <v>20</v>
      </c>
      <c r="C8" s="51" t="s">
        <v>21</v>
      </c>
      <c r="D8" s="43"/>
      <c r="E8" s="44"/>
      <c r="F8" s="43"/>
      <c r="G8" s="43"/>
      <c r="H8" s="43"/>
      <c r="I8" s="43"/>
      <c r="J8" s="45"/>
      <c r="K8" s="45"/>
      <c r="L8" s="45"/>
      <c r="M8" s="45"/>
      <c r="N8" s="46"/>
      <c r="O8" s="52">
        <f t="shared" ref="O8:O24" si="0">D8</f>
        <v>0</v>
      </c>
      <c r="P8" s="53">
        <f t="shared" ref="P8:P24" si="1">N8</f>
        <v>0</v>
      </c>
      <c r="Q8" s="54">
        <f>O8-IF(ISNA(VLOOKUP($B8,WBS!$A$7:$V$911,COLUMN(O8),FALSE)),0,VLOOKUP($B8,WBS!$A$7:$V$911,COLUMN(O8),FALSE))</f>
        <v>0</v>
      </c>
      <c r="R8" s="55">
        <f>P8-IF(ISNA(VLOOKUP($B8,WBS!$A$7:$V$911,COLUMN(P8),FALSE)),0,VLOOKUP($B8,WBS!$A$7:$V$911,COLUMN(P8),FALSE))</f>
        <v>0</v>
      </c>
      <c r="S8" s="52" t="e">
        <f>SUMIF(NumberRange,WBS!B8,HoursRange)</f>
        <v>#REF!</v>
      </c>
      <c r="T8" s="56" t="e">
        <f t="shared" ref="T8" si="2">SUMIF(NumberRange,B8,CostRange)</f>
        <v>#REF!</v>
      </c>
      <c r="U8" s="53" t="e">
        <f t="shared" ref="U8" si="3">SUMIF(NumberRange,B8,CostRange2)</f>
        <v>#REF!</v>
      </c>
      <c r="V8" s="52" t="e">
        <f t="array" ref="V8">SUM(IF(NumberRange=B8,IF(DateRange=WBS!$X$5,HoursRange,0),0))</f>
        <v>#REF!</v>
      </c>
    </row>
    <row r="9" spans="1:22" x14ac:dyDescent="0.25">
      <c r="A9" s="1" t="s">
        <v>22</v>
      </c>
      <c r="B9" s="57" t="s">
        <v>23</v>
      </c>
      <c r="C9" s="58" t="s">
        <v>24</v>
      </c>
      <c r="D9" s="43" t="e">
        <f>SUM(F9:I9)</f>
        <v>#REF!</v>
      </c>
      <c r="E9" s="44" t="s">
        <v>25</v>
      </c>
      <c r="F9" s="43" t="e">
        <f>SUMIF(#REF!,$B9,#REF!)</f>
        <v>#REF!</v>
      </c>
      <c r="G9" s="43" t="e">
        <f>SUMIF(#REF!,$B9,#REF!)</f>
        <v>#REF!</v>
      </c>
      <c r="H9" s="43" t="e">
        <f>SUMIF(#REF!,$B9,#REF!)</f>
        <v>#REF!</v>
      </c>
      <c r="I9" s="43"/>
      <c r="J9" s="45" t="e">
        <f ca="1">IF($E9="","",OFFSET(#REF!,MATCH(F$5,#REF!,0)+MATCH(WBS!$E9,#REF!,0)-2,0,1,1))</f>
        <v>#REF!</v>
      </c>
      <c r="K9" s="45" t="e">
        <f ca="1">IF($E9="","",OFFSET(#REF!,MATCH(G$5,#REF!,0)+MATCH(WBS!$E9,#REF!,0)-2,0,1,1))</f>
        <v>#REF!</v>
      </c>
      <c r="L9" s="45" t="e">
        <f ca="1">IF($E9="","",OFFSET(#REF!,MATCH(H$5,#REF!,0)+MATCH(WBS!$E9,#REF!,0)-2,0,1,1))</f>
        <v>#REF!</v>
      </c>
      <c r="M9" s="45"/>
      <c r="N9" s="46" t="e">
        <f>SUMPRODUCT(F9:I9,J9:M9)</f>
        <v>#REF!</v>
      </c>
      <c r="O9" s="59" t="e">
        <f t="shared" si="0"/>
        <v>#REF!</v>
      </c>
      <c r="P9" s="60" t="e">
        <f t="shared" si="1"/>
        <v>#REF!</v>
      </c>
      <c r="Q9" s="61" t="e">
        <f>O9-IF(ISNA(VLOOKUP($B9,WBS!$B$7:$V$911,COLUMN(N9),FALSE)),0,VLOOKUP($B9,WBS!$B$7:$V$911,COLUMN(N9),FALSE))</f>
        <v>#REF!</v>
      </c>
      <c r="R9" s="62" t="e">
        <f>P9-IF(ISNA(VLOOKUP($B9,WBS!$B$7:$V$911,COLUMN(O9),FALSE)),0,VLOOKUP($B9,WBS!$B$7:$V$911,COLUMN(O9),FALSE))</f>
        <v>#REF!</v>
      </c>
      <c r="S9" s="59" t="e">
        <f>SUMIF(NumberRange,WBS!B9,HoursRange)</f>
        <v>#REF!</v>
      </c>
      <c r="T9" s="63" t="e">
        <f t="shared" ref="T9" si="4">SUMIF(NumberRange,B9,CostRange)</f>
        <v>#REF!</v>
      </c>
      <c r="U9" s="60" t="e">
        <f t="shared" ref="U9" si="5">SUMIF(NumberRange,B9,CostRange2)</f>
        <v>#REF!</v>
      </c>
      <c r="V9" s="59" t="e">
        <f t="array" ref="V9">SUM(IF(NumberRange=B9,IF(DateRange=WBS!$X$5,HoursRange,0),0))</f>
        <v>#REF!</v>
      </c>
    </row>
    <row r="10" spans="1:22" x14ac:dyDescent="0.25">
      <c r="A10" s="1" t="s">
        <v>22</v>
      </c>
      <c r="B10" s="64" t="s">
        <v>26</v>
      </c>
      <c r="C10" s="65" t="s">
        <v>27</v>
      </c>
      <c r="D10" s="43" t="e">
        <f>SUM(F10:I10)</f>
        <v>#REF!</v>
      </c>
      <c r="E10" s="44" t="s">
        <v>28</v>
      </c>
      <c r="F10" s="43" t="e">
        <f>SUMIF(#REF!,$B10,#REF!)</f>
        <v>#REF!</v>
      </c>
      <c r="G10" s="43" t="e">
        <f>SUMIF(#REF!,$B10,#REF!)</f>
        <v>#REF!</v>
      </c>
      <c r="H10" s="43" t="e">
        <f>SUMIF(#REF!,$B10,#REF!)</f>
        <v>#REF!</v>
      </c>
      <c r="I10" s="43"/>
      <c r="J10" s="45" t="e">
        <f ca="1">IF($E10="","",OFFSET(#REF!,MATCH(F$5,#REF!,0)+MATCH(WBS!$E10,#REF!,0)-2,0,1,1))</f>
        <v>#REF!</v>
      </c>
      <c r="K10" s="45" t="e">
        <f ca="1">IF($E10="","",OFFSET(#REF!,MATCH(G$5,#REF!,0)+MATCH(WBS!$E10,#REF!,0)-2,0,1,1))</f>
        <v>#REF!</v>
      </c>
      <c r="L10" s="45" t="e">
        <f ca="1">IF($E10="","",OFFSET(#REF!,MATCH(H$5,#REF!,0)+MATCH(WBS!$E10,#REF!,0)-2,0,1,1))</f>
        <v>#REF!</v>
      </c>
      <c r="M10" s="45"/>
      <c r="N10" s="46" t="e">
        <f t="shared" ref="N10:N11" si="6">SUMPRODUCT(F10:I10,J10:M10)</f>
        <v>#REF!</v>
      </c>
      <c r="O10" s="52" t="e">
        <f t="shared" si="0"/>
        <v>#REF!</v>
      </c>
      <c r="P10" s="53" t="e">
        <f t="shared" si="1"/>
        <v>#REF!</v>
      </c>
      <c r="Q10" s="54" t="e">
        <f>O10-IF(ISNA(VLOOKUP($B10,WBS!$B$7:$V$911,COLUMN(N10),FALSE)),0,VLOOKUP($B10,WBS!$B$7:$V$911,COLUMN(N10),FALSE))</f>
        <v>#REF!</v>
      </c>
      <c r="R10" s="55" t="e">
        <f>P10-IF(ISNA(VLOOKUP($B10,WBS!$B$7:$V$911,COLUMN(O10),FALSE)),0,VLOOKUP($B10,WBS!$B$7:$V$911,COLUMN(O10),FALSE))</f>
        <v>#REF!</v>
      </c>
      <c r="S10" s="52" t="e">
        <f>SUMIF(NumberRange,WBS!B10,HoursRange)</f>
        <v>#REF!</v>
      </c>
      <c r="T10" s="56" t="e">
        <f t="shared" ref="T10" si="7">SUMIF(NumberRange,B10,CostRange)</f>
        <v>#REF!</v>
      </c>
      <c r="U10" s="53" t="e">
        <f t="shared" ref="U10" si="8">SUMIF(NumberRange,B10,CostRange2)</f>
        <v>#REF!</v>
      </c>
      <c r="V10" s="52" t="e">
        <f t="array" ref="V10">SUM(IF(NumberRange=B10,IF(DateRange=WBS!$X$5,HoursRange,0),0))</f>
        <v>#REF!</v>
      </c>
    </row>
    <row r="11" spans="1:22" x14ac:dyDescent="0.25">
      <c r="A11" s="1" t="s">
        <v>22</v>
      </c>
      <c r="B11" s="57" t="s">
        <v>29</v>
      </c>
      <c r="C11" s="58" t="s">
        <v>30</v>
      </c>
      <c r="D11" s="43" t="e">
        <f t="shared" ref="D11:D17" si="9">SUM(F11:I11)</f>
        <v>#REF!</v>
      </c>
      <c r="E11" s="44" t="s">
        <v>31</v>
      </c>
      <c r="F11" s="43" t="e">
        <f>SUMIF(#REF!,$B11,#REF!)</f>
        <v>#REF!</v>
      </c>
      <c r="G11" s="43" t="e">
        <f>SUMIF(#REF!,$B11,#REF!)</f>
        <v>#REF!</v>
      </c>
      <c r="H11" s="43" t="e">
        <f>SUMIF(#REF!,$B11,#REF!)</f>
        <v>#REF!</v>
      </c>
      <c r="I11" s="43"/>
      <c r="J11" s="45" t="e">
        <f ca="1">IF($E11="","",OFFSET(#REF!,MATCH(F$5,#REF!,0)+MATCH(WBS!$E11,#REF!,0)-2,0,1,1))</f>
        <v>#REF!</v>
      </c>
      <c r="K11" s="45" t="e">
        <f ca="1">IF($E11="","",OFFSET(#REF!,MATCH(G$5,#REF!,0)+MATCH(WBS!$E11,#REF!,0)-2,0,1,1))</f>
        <v>#REF!</v>
      </c>
      <c r="L11" s="45" t="e">
        <f ca="1">IF($E11="","",OFFSET(#REF!,MATCH(H$5,#REF!,0)+MATCH(WBS!$E11,#REF!,0)-2,0,1,1))</f>
        <v>#REF!</v>
      </c>
      <c r="M11" s="45"/>
      <c r="N11" s="46" t="e">
        <f t="shared" si="6"/>
        <v>#REF!</v>
      </c>
      <c r="O11" s="59" t="e">
        <f t="shared" si="0"/>
        <v>#REF!</v>
      </c>
      <c r="P11" s="60" t="e">
        <f t="shared" si="1"/>
        <v>#REF!</v>
      </c>
      <c r="Q11" s="61" t="e">
        <f>O11-IF(ISNA(VLOOKUP($B11,WBS!$B$7:$V$911,COLUMN(N11),FALSE)),0,VLOOKUP($B11,WBS!$B$7:$V$911,COLUMN(N11),FALSE))</f>
        <v>#REF!</v>
      </c>
      <c r="R11" s="62" t="e">
        <f>P11-IF(ISNA(VLOOKUP($B11,WBS!$B$7:$V$911,COLUMN(O11),FALSE)),0,VLOOKUP($B11,WBS!$B$7:$V$911,COLUMN(O11),FALSE))</f>
        <v>#REF!</v>
      </c>
      <c r="S11" s="59" t="e">
        <f>SUMIF(NumberRange,WBS!B11,HoursRange)</f>
        <v>#REF!</v>
      </c>
      <c r="T11" s="63" t="e">
        <f t="shared" ref="T11" si="10">SUMIF(NumberRange,B11,CostRange)</f>
        <v>#REF!</v>
      </c>
      <c r="U11" s="60" t="e">
        <f t="shared" ref="U11" si="11">SUMIF(NumberRange,B11,CostRange2)</f>
        <v>#REF!</v>
      </c>
      <c r="V11" s="59" t="e">
        <f t="array" ref="V11">SUM(IF(NumberRange=B11,IF(DateRange=WBS!$X$5,HoursRange,0),0))</f>
        <v>#REF!</v>
      </c>
    </row>
    <row r="12" spans="1:22" x14ac:dyDescent="0.25">
      <c r="A12" s="1" t="s">
        <v>22</v>
      </c>
      <c r="B12" s="64" t="s">
        <v>32</v>
      </c>
      <c r="C12" s="65" t="s">
        <v>33</v>
      </c>
      <c r="D12" s="43" t="e">
        <f t="shared" si="9"/>
        <v>#REF!</v>
      </c>
      <c r="E12" s="44" t="s">
        <v>34</v>
      </c>
      <c r="F12" s="43" t="e">
        <f>SUMIF(#REF!,$B12,#REF!)</f>
        <v>#REF!</v>
      </c>
      <c r="G12" s="43" t="e">
        <f>SUMIF(#REF!,$B12,#REF!)</f>
        <v>#REF!</v>
      </c>
      <c r="H12" s="43" t="e">
        <f>SUMIF(#REF!,$B12,#REF!)</f>
        <v>#REF!</v>
      </c>
      <c r="I12" s="43"/>
      <c r="J12" s="45" t="e">
        <f ca="1">IF($E12="","",OFFSET(#REF!,MATCH(F$5,#REF!,0)+MATCH(WBS!$E12,#REF!,0)-2,0,1,1))</f>
        <v>#REF!</v>
      </c>
      <c r="K12" s="45" t="e">
        <f ca="1">IF($E12="","",OFFSET(#REF!,MATCH(G$5,#REF!,0)+MATCH(WBS!$E12,#REF!,0)-2,0,1,1))</f>
        <v>#REF!</v>
      </c>
      <c r="L12" s="45" t="e">
        <f ca="1">IF($E12="","",OFFSET(#REF!,MATCH(H$5,#REF!,0)+MATCH(WBS!$E12,#REF!,0)-2,0,1,1))</f>
        <v>#REF!</v>
      </c>
      <c r="M12" s="45"/>
      <c r="N12" s="46" t="e">
        <f>SUMPRODUCT(F12:I12,J12:M12)</f>
        <v>#REF!</v>
      </c>
      <c r="O12" s="52" t="e">
        <f t="shared" si="0"/>
        <v>#REF!</v>
      </c>
      <c r="P12" s="53" t="e">
        <f t="shared" si="1"/>
        <v>#REF!</v>
      </c>
      <c r="Q12" s="54" t="e">
        <f>O12-IF(ISNA(VLOOKUP($B12,WBS!$B$7:$V$911,COLUMN(N12),FALSE)),0,VLOOKUP($B12,WBS!$B$7:$V$911,COLUMN(N12),FALSE))</f>
        <v>#REF!</v>
      </c>
      <c r="R12" s="55" t="e">
        <f>P12-IF(ISNA(VLOOKUP($B12,WBS!$B$7:$V$911,COLUMN(O12),FALSE)),0,VLOOKUP($B12,WBS!$B$7:$V$911,COLUMN(O12),FALSE))</f>
        <v>#REF!</v>
      </c>
      <c r="S12" s="52" t="e">
        <f>SUMIF(NumberRange,WBS!B12,HoursRange)</f>
        <v>#REF!</v>
      </c>
      <c r="T12" s="56" t="e">
        <f t="shared" ref="T12" si="12">SUMIF(NumberRange,B12,CostRange)</f>
        <v>#REF!</v>
      </c>
      <c r="U12" s="53" t="e">
        <f t="shared" ref="U12" si="13">SUMIF(NumberRange,B12,CostRange2)</f>
        <v>#REF!</v>
      </c>
      <c r="V12" s="52" t="e">
        <f t="array" ref="V12">SUM(IF(NumberRange=B12,IF(DateRange=WBS!$X$5,HoursRange,0),0))</f>
        <v>#REF!</v>
      </c>
    </row>
    <row r="13" spans="1:22" x14ac:dyDescent="0.25">
      <c r="A13" s="1" t="s">
        <v>22</v>
      </c>
      <c r="B13" s="57" t="s">
        <v>35</v>
      </c>
      <c r="C13" s="58" t="s">
        <v>36</v>
      </c>
      <c r="D13" s="43" t="e">
        <f t="shared" si="9"/>
        <v>#REF!</v>
      </c>
      <c r="E13" s="44" t="s">
        <v>25</v>
      </c>
      <c r="F13" s="43" t="e">
        <f>SUMIF(#REF!,$B13,#REF!)</f>
        <v>#REF!</v>
      </c>
      <c r="G13" s="43" t="e">
        <f>SUMIF(#REF!,$B13,#REF!)</f>
        <v>#REF!</v>
      </c>
      <c r="H13" s="43" t="e">
        <f>SUMIF(#REF!,$B13,#REF!)</f>
        <v>#REF!</v>
      </c>
      <c r="I13" s="43"/>
      <c r="J13" s="45" t="e">
        <f ca="1">IF($E13="","",OFFSET(#REF!,MATCH(F$5,#REF!,0)+MATCH(WBS!$E13,#REF!,0)-2,0,1,1))</f>
        <v>#REF!</v>
      </c>
      <c r="K13" s="45" t="e">
        <f ca="1">IF($E13="","",OFFSET(#REF!,MATCH(G$5,#REF!,0)+MATCH(WBS!$E13,#REF!,0)-2,0,1,1))</f>
        <v>#REF!</v>
      </c>
      <c r="L13" s="45" t="e">
        <f ca="1">IF($E13="","",OFFSET(#REF!,MATCH(H$5,#REF!,0)+MATCH(WBS!$E13,#REF!,0)-2,0,1,1))</f>
        <v>#REF!</v>
      </c>
      <c r="M13" s="45"/>
      <c r="N13" s="46" t="e">
        <f t="shared" ref="N13:N18" si="14">SUMPRODUCT(F13:I13,J13:M13)</f>
        <v>#REF!</v>
      </c>
      <c r="O13" s="59" t="e">
        <f t="shared" si="0"/>
        <v>#REF!</v>
      </c>
      <c r="P13" s="60" t="e">
        <f t="shared" si="1"/>
        <v>#REF!</v>
      </c>
      <c r="Q13" s="61" t="e">
        <f>O13-IF(ISNA(VLOOKUP($B13,WBS!$B$7:$V$911,COLUMN(N13),FALSE)),0,VLOOKUP($B13,WBS!$B$7:$V$911,COLUMN(N13),FALSE))</f>
        <v>#REF!</v>
      </c>
      <c r="R13" s="62" t="e">
        <f>P13-IF(ISNA(VLOOKUP($B13,WBS!$B$7:$V$911,COLUMN(O13),FALSE)),0,VLOOKUP($B13,WBS!$B$7:$V$911,COLUMN(O13),FALSE))</f>
        <v>#REF!</v>
      </c>
      <c r="S13" s="59" t="e">
        <f>SUMIF(NumberRange,WBS!B13,HoursRange)</f>
        <v>#REF!</v>
      </c>
      <c r="T13" s="63" t="e">
        <f t="shared" ref="T13" si="15">SUMIF(NumberRange,B13,CostRange)</f>
        <v>#REF!</v>
      </c>
      <c r="U13" s="60" t="e">
        <f t="shared" ref="U13" si="16">SUMIF(NumberRange,B13,CostRange2)</f>
        <v>#REF!</v>
      </c>
      <c r="V13" s="59" t="e">
        <f t="array" ref="V13">SUM(IF(NumberRange=B13,IF(DateRange=WBS!$X$5,HoursRange,0),0))</f>
        <v>#REF!</v>
      </c>
    </row>
    <row r="14" spans="1:22" x14ac:dyDescent="0.25">
      <c r="A14" s="1" t="s">
        <v>22</v>
      </c>
      <c r="B14" s="64" t="s">
        <v>37</v>
      </c>
      <c r="C14" s="65" t="s">
        <v>38</v>
      </c>
      <c r="D14" s="43" t="e">
        <f t="shared" si="9"/>
        <v>#REF!</v>
      </c>
      <c r="E14" s="44" t="s">
        <v>25</v>
      </c>
      <c r="F14" s="43" t="e">
        <f>SUMIF(#REF!,$B14,#REF!)</f>
        <v>#REF!</v>
      </c>
      <c r="G14" s="43" t="e">
        <f>SUMIF(#REF!,$B14,#REF!)</f>
        <v>#REF!</v>
      </c>
      <c r="H14" s="43" t="e">
        <f>SUMIF(#REF!,$B14,#REF!)</f>
        <v>#REF!</v>
      </c>
      <c r="I14" s="43"/>
      <c r="J14" s="45" t="e">
        <f ca="1">IF($E14="","",OFFSET(#REF!,MATCH(F$5,#REF!,0)+MATCH(WBS!$E14,#REF!,0)-2,0,1,1))</f>
        <v>#REF!</v>
      </c>
      <c r="K14" s="45" t="e">
        <f ca="1">IF($E14="","",OFFSET(#REF!,MATCH(G$5,#REF!,0)+MATCH(WBS!$E14,#REF!,0)-2,0,1,1))</f>
        <v>#REF!</v>
      </c>
      <c r="L14" s="45" t="e">
        <f ca="1">IF($E14="","",OFFSET(#REF!,MATCH(H$5,#REF!,0)+MATCH(WBS!$E14,#REF!,0)-2,0,1,1))</f>
        <v>#REF!</v>
      </c>
      <c r="M14" s="45"/>
      <c r="N14" s="46" t="e">
        <f t="shared" si="14"/>
        <v>#REF!</v>
      </c>
      <c r="O14" s="52" t="e">
        <f t="shared" si="0"/>
        <v>#REF!</v>
      </c>
      <c r="P14" s="53" t="e">
        <f t="shared" si="1"/>
        <v>#REF!</v>
      </c>
      <c r="Q14" s="54" t="e">
        <f>O14-IF(ISNA(VLOOKUP($B14,WBS!$B$7:$V$911,COLUMN(N14),FALSE)),0,VLOOKUP($B14,WBS!$B$7:$V$911,COLUMN(N14),FALSE))</f>
        <v>#REF!</v>
      </c>
      <c r="R14" s="55" t="e">
        <f>P14-IF(ISNA(VLOOKUP($B14,WBS!$B$7:$V$911,COLUMN(O14),FALSE)),0,VLOOKUP($B14,WBS!$B$7:$V$911,COLUMN(O14),FALSE))</f>
        <v>#REF!</v>
      </c>
      <c r="S14" s="52" t="e">
        <f>SUMIF(NumberRange,WBS!B14,HoursRange)</f>
        <v>#REF!</v>
      </c>
      <c r="T14" s="56" t="e">
        <f t="shared" ref="T14" si="17">SUMIF(NumberRange,B14,CostRange)</f>
        <v>#REF!</v>
      </c>
      <c r="U14" s="53" t="e">
        <f t="shared" ref="U14" si="18">SUMIF(NumberRange,B14,CostRange2)</f>
        <v>#REF!</v>
      </c>
      <c r="V14" s="52" t="e">
        <f t="array" ref="V14">SUM(IF(NumberRange=B14,IF(DateRange=WBS!$X$5,HoursRange,0),0))</f>
        <v>#REF!</v>
      </c>
    </row>
    <row r="15" spans="1:22" x14ac:dyDescent="0.25">
      <c r="A15" s="1" t="s">
        <v>22</v>
      </c>
      <c r="B15" s="57" t="s">
        <v>39</v>
      </c>
      <c r="C15" s="58" t="s">
        <v>40</v>
      </c>
      <c r="D15" s="43" t="e">
        <f t="shared" si="9"/>
        <v>#REF!</v>
      </c>
      <c r="E15" s="44" t="s">
        <v>41</v>
      </c>
      <c r="F15" s="43" t="e">
        <f>SUMIF(#REF!,$B15,#REF!)</f>
        <v>#REF!</v>
      </c>
      <c r="G15" s="43" t="e">
        <f>SUMIF(#REF!,$B15,#REF!)</f>
        <v>#REF!</v>
      </c>
      <c r="H15" s="43" t="e">
        <f>SUMIF(#REF!,$B15,#REF!)</f>
        <v>#REF!</v>
      </c>
      <c r="I15" s="43"/>
      <c r="J15" s="45" t="e">
        <f ca="1">IF($E15="","",OFFSET(#REF!,MATCH(F$5,#REF!,0)+MATCH(WBS!$E15,#REF!,0)-2,0,1,1))</f>
        <v>#REF!</v>
      </c>
      <c r="K15" s="45" t="e">
        <f ca="1">IF($E15="","",OFFSET(#REF!,MATCH(G$5,#REF!,0)+MATCH(WBS!$E15,#REF!,0)-2,0,1,1))</f>
        <v>#REF!</v>
      </c>
      <c r="L15" s="45" t="e">
        <f ca="1">IF($E15="","",OFFSET(#REF!,MATCH(H$5,#REF!,0)+MATCH(WBS!$E15,#REF!,0)-2,0,1,1))</f>
        <v>#REF!</v>
      </c>
      <c r="M15" s="45"/>
      <c r="N15" s="46" t="e">
        <f t="shared" si="14"/>
        <v>#REF!</v>
      </c>
      <c r="O15" s="59" t="e">
        <f t="shared" si="0"/>
        <v>#REF!</v>
      </c>
      <c r="P15" s="60" t="e">
        <f t="shared" si="1"/>
        <v>#REF!</v>
      </c>
      <c r="Q15" s="61" t="e">
        <f>O15-IF(ISNA(VLOOKUP($B15,WBS!$B$7:$V$911,COLUMN(N15),FALSE)),0,VLOOKUP($B15,WBS!$B$7:$V$911,COLUMN(N15),FALSE))</f>
        <v>#REF!</v>
      </c>
      <c r="R15" s="62" t="e">
        <f>P15-IF(ISNA(VLOOKUP($B15,WBS!$B$7:$V$911,COLUMN(O15),FALSE)),0,VLOOKUP($B15,WBS!$B$7:$V$911,COLUMN(O15),FALSE))</f>
        <v>#REF!</v>
      </c>
      <c r="S15" s="59" t="e">
        <f>SUMIF(NumberRange,WBS!B15,HoursRange)</f>
        <v>#REF!</v>
      </c>
      <c r="T15" s="63" t="e">
        <f t="shared" ref="T15" si="19">SUMIF(NumberRange,B15,CostRange)</f>
        <v>#REF!</v>
      </c>
      <c r="U15" s="60" t="e">
        <f t="shared" ref="U15" si="20">SUMIF(NumberRange,B15,CostRange2)</f>
        <v>#REF!</v>
      </c>
      <c r="V15" s="59" t="e">
        <f t="array" ref="V15">SUM(IF(NumberRange=B15,IF(DateRange=WBS!$X$5,HoursRange,0),0))</f>
        <v>#REF!</v>
      </c>
    </row>
    <row r="16" spans="1:22" x14ac:dyDescent="0.25">
      <c r="A16" s="1" t="s">
        <v>22</v>
      </c>
      <c r="B16" s="66" t="s">
        <v>42</v>
      </c>
      <c r="C16" s="67" t="s">
        <v>43</v>
      </c>
      <c r="D16" s="43" t="e">
        <f t="shared" si="9"/>
        <v>#REF!</v>
      </c>
      <c r="E16" s="44" t="s">
        <v>28</v>
      </c>
      <c r="F16" s="43" t="e">
        <f>SUMIF(#REF!,$B16,#REF!)</f>
        <v>#REF!</v>
      </c>
      <c r="G16" s="43" t="e">
        <f>SUMIF(#REF!,$B16,#REF!)</f>
        <v>#REF!</v>
      </c>
      <c r="H16" s="43" t="e">
        <f>SUMIF(#REF!,$B16,#REF!)</f>
        <v>#REF!</v>
      </c>
      <c r="I16" s="43"/>
      <c r="J16" s="45" t="e">
        <f ca="1">IF($E16="","",OFFSET(#REF!,MATCH(F$5,#REF!,0)+MATCH(WBS!$E16,#REF!,0)-2,0,1,1))</f>
        <v>#REF!</v>
      </c>
      <c r="K16" s="45" t="e">
        <f ca="1">IF($E16="","",OFFSET(#REF!,MATCH(G$5,#REF!,0)+MATCH(WBS!$E16,#REF!,0)-2,0,1,1))</f>
        <v>#REF!</v>
      </c>
      <c r="L16" s="45" t="e">
        <f ca="1">IF($E16="","",OFFSET(#REF!,MATCH(H$5,#REF!,0)+MATCH(WBS!$E16,#REF!,0)-2,0,1,1))</f>
        <v>#REF!</v>
      </c>
      <c r="M16" s="45"/>
      <c r="N16" s="46" t="e">
        <f t="shared" si="14"/>
        <v>#REF!</v>
      </c>
      <c r="O16" s="59" t="e">
        <f t="shared" si="0"/>
        <v>#REF!</v>
      </c>
      <c r="P16" s="60" t="e">
        <f t="shared" si="1"/>
        <v>#REF!</v>
      </c>
      <c r="Q16" s="61" t="e">
        <f>O16-IF(ISNA(VLOOKUP($B16,WBS!$B$7:$V$911,COLUMN(N16),FALSE)),0,VLOOKUP($B16,WBS!$B$7:$V$911,COLUMN(N16),FALSE))</f>
        <v>#REF!</v>
      </c>
      <c r="R16" s="62" t="e">
        <f>P16-IF(ISNA(VLOOKUP($B16,WBS!$B$7:$V$911,COLUMN(O16),FALSE)),0,VLOOKUP($B16,WBS!$B$7:$V$911,COLUMN(O16),FALSE))</f>
        <v>#REF!</v>
      </c>
      <c r="S16" s="59" t="e">
        <f>SUMIF(NumberRange,WBS!B16,HoursRange)</f>
        <v>#REF!</v>
      </c>
      <c r="T16" s="63" t="e">
        <f t="shared" ref="T16" si="21">SUMIF(NumberRange,B16,CostRange)</f>
        <v>#REF!</v>
      </c>
      <c r="U16" s="60" t="e">
        <f t="shared" ref="U16" si="22">SUMIF(NumberRange,B16,CostRange2)</f>
        <v>#REF!</v>
      </c>
      <c r="V16" s="59" t="e">
        <f t="array" ref="V16">SUM(IF(NumberRange=B16,IF(DateRange=WBS!$X$5,HoursRange,0),0))</f>
        <v>#REF!</v>
      </c>
    </row>
    <row r="17" spans="1:22" x14ac:dyDescent="0.25">
      <c r="A17" s="1" t="s">
        <v>22</v>
      </c>
      <c r="B17" s="66" t="s">
        <v>44</v>
      </c>
      <c r="C17" s="67" t="s">
        <v>45</v>
      </c>
      <c r="D17" s="43" t="e">
        <f t="shared" si="9"/>
        <v>#REF!</v>
      </c>
      <c r="E17" s="44" t="s">
        <v>25</v>
      </c>
      <c r="F17" s="43" t="e">
        <f>SUMIF(#REF!,$B17,#REF!)</f>
        <v>#REF!</v>
      </c>
      <c r="G17" s="43" t="e">
        <f>SUMIF(#REF!,$B17,#REF!)</f>
        <v>#REF!</v>
      </c>
      <c r="H17" s="43" t="e">
        <f>SUMIF(#REF!,$B17,#REF!)</f>
        <v>#REF!</v>
      </c>
      <c r="I17" s="43"/>
      <c r="J17" s="45" t="e">
        <f ca="1">IF($E17="","",OFFSET(#REF!,MATCH(F$5,#REF!,0)+MATCH(WBS!$E17,#REF!,0)-2,0,1,1))</f>
        <v>#REF!</v>
      </c>
      <c r="K17" s="45" t="e">
        <f ca="1">IF($E17="","",OFFSET(#REF!,MATCH(G$5,#REF!,0)+MATCH(WBS!$E17,#REF!,0)-2,0,1,1))</f>
        <v>#REF!</v>
      </c>
      <c r="L17" s="45" t="e">
        <f ca="1">IF($E17="","",OFFSET(#REF!,MATCH(H$5,#REF!,0)+MATCH(WBS!$E17,#REF!,0)-2,0,1,1))</f>
        <v>#REF!</v>
      </c>
      <c r="M17" s="45"/>
      <c r="N17" s="46" t="e">
        <f t="shared" si="14"/>
        <v>#REF!</v>
      </c>
      <c r="O17" s="59" t="e">
        <f t="shared" si="0"/>
        <v>#REF!</v>
      </c>
      <c r="P17" s="60" t="e">
        <f t="shared" si="1"/>
        <v>#REF!</v>
      </c>
      <c r="Q17" s="61" t="e">
        <f>O17-IF(ISNA(VLOOKUP($B17,WBS!$B$7:$V$911,COLUMN(N17),FALSE)),0,VLOOKUP($B17,WBS!$B$7:$V$911,COLUMN(N17),FALSE))</f>
        <v>#REF!</v>
      </c>
      <c r="R17" s="62" t="e">
        <f>P17-IF(ISNA(VLOOKUP($B17,WBS!$B$7:$V$911,COLUMN(O17),FALSE)),0,VLOOKUP($B17,WBS!$B$7:$V$911,COLUMN(O17),FALSE))</f>
        <v>#REF!</v>
      </c>
      <c r="S17" s="59" t="e">
        <f>SUMIF(NumberRange,WBS!B17,HoursRange)</f>
        <v>#REF!</v>
      </c>
      <c r="T17" s="63" t="e">
        <f t="shared" ref="T17" si="23">SUMIF(NumberRange,B17,CostRange)</f>
        <v>#REF!</v>
      </c>
      <c r="U17" s="60" t="e">
        <f t="shared" ref="U17" si="24">SUMIF(NumberRange,B17,CostRange2)</f>
        <v>#REF!</v>
      </c>
      <c r="V17" s="59" t="e">
        <f t="array" ref="V17">SUM(IF(NumberRange=B17,IF(DateRange=WBS!$X$5,HoursRange,0),0))</f>
        <v>#REF!</v>
      </c>
    </row>
    <row r="18" spans="1:22" x14ac:dyDescent="0.25">
      <c r="A18" s="1" t="s">
        <v>22</v>
      </c>
      <c r="B18" s="66" t="s">
        <v>46</v>
      </c>
      <c r="C18" s="67" t="s">
        <v>47</v>
      </c>
      <c r="D18" s="43" t="e">
        <f t="shared" ref="D18" si="25">SUM(F18:I18)</f>
        <v>#REF!</v>
      </c>
      <c r="E18" s="44" t="s">
        <v>28</v>
      </c>
      <c r="F18" s="43" t="e">
        <f>SUMIF(#REF!,$B18,#REF!)</f>
        <v>#REF!</v>
      </c>
      <c r="G18" s="43" t="e">
        <f>SUMIF(#REF!,$B18,#REF!)</f>
        <v>#REF!</v>
      </c>
      <c r="H18" s="43" t="e">
        <f>SUMIF(#REF!,$B18,#REF!)</f>
        <v>#REF!</v>
      </c>
      <c r="I18" s="43"/>
      <c r="J18" s="45" t="e">
        <f ca="1">IF($E18="","",OFFSET(#REF!,MATCH(F$5,#REF!,0)+MATCH(WBS!$E18,#REF!,0)-2,0,1,1))</f>
        <v>#REF!</v>
      </c>
      <c r="K18" s="45" t="e">
        <f ca="1">IF($E18="","",OFFSET(#REF!,MATCH(G$5,#REF!,0)+MATCH(WBS!$E18,#REF!,0)-2,0,1,1))</f>
        <v>#REF!</v>
      </c>
      <c r="L18" s="45" t="e">
        <f ca="1">IF($E18="","",OFFSET(#REF!,MATCH(H$5,#REF!,0)+MATCH(WBS!$E18,#REF!,0)-2,0,1,1))</f>
        <v>#REF!</v>
      </c>
      <c r="M18" s="45"/>
      <c r="N18" s="46" t="e">
        <f t="shared" si="14"/>
        <v>#REF!</v>
      </c>
      <c r="O18" s="59" t="e">
        <f t="shared" si="0"/>
        <v>#REF!</v>
      </c>
      <c r="P18" s="60" t="e">
        <f t="shared" si="1"/>
        <v>#REF!</v>
      </c>
      <c r="Q18" s="61" t="e">
        <f>O18-IF(ISNA(VLOOKUP($B18,WBS!$B$7:$V$911,COLUMN(N18),FALSE)),0,VLOOKUP($B18,WBS!$B$7:$V$911,COLUMN(N18),FALSE))</f>
        <v>#REF!</v>
      </c>
      <c r="R18" s="62" t="e">
        <f>P18-IF(ISNA(VLOOKUP($B18,WBS!$B$7:$V$911,COLUMN(O18),FALSE)),0,VLOOKUP($B18,WBS!$B$7:$V$911,COLUMN(O18),FALSE))</f>
        <v>#REF!</v>
      </c>
      <c r="S18" s="59" t="e">
        <f>SUMIF(NumberRange,WBS!B18,HoursRange)</f>
        <v>#REF!</v>
      </c>
      <c r="T18" s="63" t="e">
        <f t="shared" ref="T18" si="26">SUMIF(NumberRange,B18,CostRange)</f>
        <v>#REF!</v>
      </c>
      <c r="U18" s="60" t="e">
        <f t="shared" ref="U18" si="27">SUMIF(NumberRange,B18,CostRange2)</f>
        <v>#REF!</v>
      </c>
      <c r="V18" s="59" t="e">
        <f t="array" ref="V18">SUM(IF(NumberRange=B18,IF(DateRange=WBS!$X$5,HoursRange,0),0))</f>
        <v>#REF!</v>
      </c>
    </row>
    <row r="19" spans="1:22" x14ac:dyDescent="0.25">
      <c r="A19" s="26" t="s">
        <v>17</v>
      </c>
      <c r="B19" s="50" t="s">
        <v>48</v>
      </c>
      <c r="C19" s="51" t="s">
        <v>49</v>
      </c>
      <c r="D19" s="43"/>
      <c r="E19" s="44"/>
      <c r="F19" s="43"/>
      <c r="G19" s="43"/>
      <c r="H19" s="43" t="e">
        <f>SUMIF(#REF!,$B19,#REF!)</f>
        <v>#REF!</v>
      </c>
      <c r="I19" s="43"/>
      <c r="J19" s="45"/>
      <c r="K19" s="45"/>
      <c r="L19" s="45"/>
      <c r="M19" s="45"/>
      <c r="N19" s="46"/>
      <c r="O19" s="52">
        <f t="shared" si="0"/>
        <v>0</v>
      </c>
      <c r="P19" s="53">
        <f t="shared" si="1"/>
        <v>0</v>
      </c>
      <c r="Q19" s="54">
        <f>O19-IF(ISNA(VLOOKUP($B19,WBS!$B$7:$V$911,COLUMN(N19),FALSE)),0,VLOOKUP($B19,WBS!$B$7:$V$911,COLUMN(N19),FALSE))</f>
        <v>0</v>
      </c>
      <c r="R19" s="55">
        <f>P19-IF(ISNA(VLOOKUP($B19,WBS!$B$7:$V$911,COLUMN(O19),FALSE)),0,VLOOKUP($B19,WBS!$B$7:$V$911,COLUMN(O19),FALSE))</f>
        <v>0</v>
      </c>
      <c r="S19" s="52" t="e">
        <f>SUMIF(NumberRange,WBS!B19,HoursRange)</f>
        <v>#REF!</v>
      </c>
      <c r="T19" s="56" t="e">
        <f t="shared" ref="T19" si="28">SUMIF(NumberRange,B19,CostRange)</f>
        <v>#REF!</v>
      </c>
      <c r="U19" s="53" t="e">
        <f t="shared" ref="U19" si="29">SUMIF(NumberRange,B19,CostRange2)</f>
        <v>#REF!</v>
      </c>
      <c r="V19" s="52" t="e">
        <f t="array" ref="V19">SUM(IF(NumberRange=B19,IF(DateRange=WBS!$X$5,HoursRange,0),0))</f>
        <v>#REF!</v>
      </c>
    </row>
    <row r="20" spans="1:22" x14ac:dyDescent="0.25">
      <c r="A20" s="1" t="s">
        <v>22</v>
      </c>
      <c r="B20" s="66" t="s">
        <v>50</v>
      </c>
      <c r="C20" s="67" t="s">
        <v>51</v>
      </c>
      <c r="D20" s="43" t="e">
        <f>SUM(F20:I20)</f>
        <v>#REF!</v>
      </c>
      <c r="E20" s="44" t="s">
        <v>25</v>
      </c>
      <c r="F20" s="43" t="e">
        <f>SUMIF(#REF!,$B20,#REF!)</f>
        <v>#REF!</v>
      </c>
      <c r="G20" s="43" t="e">
        <f>SUMIF(#REF!,$B20,#REF!)</f>
        <v>#REF!</v>
      </c>
      <c r="H20" s="43" t="e">
        <f>SUMIF(#REF!,$B20,#REF!)</f>
        <v>#REF!</v>
      </c>
      <c r="I20" s="43"/>
      <c r="J20" s="45" t="e">
        <f ca="1">IF($E20="","",OFFSET(#REF!,MATCH(F$5,#REF!,0)+MATCH(WBS!$E20,#REF!,0)-2,0,1,1))</f>
        <v>#REF!</v>
      </c>
      <c r="K20" s="45" t="e">
        <f ca="1">IF($E20="","",OFFSET(#REF!,MATCH(G$5,#REF!,0)+MATCH(WBS!$E20,#REF!,0)-2,0,1,1))</f>
        <v>#REF!</v>
      </c>
      <c r="L20" s="45" t="e">
        <f ca="1">IF($E20="","",OFFSET(#REF!,MATCH(H$5,#REF!,0)+MATCH(WBS!$E20,#REF!,0)-2,0,1,1))</f>
        <v>#REF!</v>
      </c>
      <c r="M20" s="45"/>
      <c r="N20" s="46" t="e">
        <f t="shared" ref="N20:N24" si="30">SUMPRODUCT(F20:I20,J20:M20)</f>
        <v>#REF!</v>
      </c>
      <c r="O20" s="59" t="e">
        <f t="shared" si="0"/>
        <v>#REF!</v>
      </c>
      <c r="P20" s="60" t="e">
        <f t="shared" si="1"/>
        <v>#REF!</v>
      </c>
      <c r="Q20" s="61" t="e">
        <f>O20-IF(ISNA(VLOOKUP($B20,WBS!$B$7:$V$911,COLUMN(N20),FALSE)),0,VLOOKUP($B20,WBS!$B$7:$V$911,COLUMN(N20),FALSE))</f>
        <v>#REF!</v>
      </c>
      <c r="R20" s="62" t="e">
        <f>P20-IF(ISNA(VLOOKUP($B20,WBS!$B$7:$V$911,COLUMN(O20),FALSE)),0,VLOOKUP($B20,WBS!$B$7:$V$911,COLUMN(O20),FALSE))</f>
        <v>#REF!</v>
      </c>
      <c r="S20" s="59" t="e">
        <f>SUMIF(NumberRange,WBS!B20,HoursRange)</f>
        <v>#REF!</v>
      </c>
      <c r="T20" s="63" t="e">
        <f t="shared" ref="T20" si="31">SUMIF(NumberRange,B20,CostRange)</f>
        <v>#REF!</v>
      </c>
      <c r="U20" s="60" t="e">
        <f t="shared" ref="U20" si="32">SUMIF(NumberRange,B20,CostRange2)</f>
        <v>#REF!</v>
      </c>
      <c r="V20" s="59" t="e">
        <f t="array" ref="V20">SUM(IF(NumberRange=B20,IF(DateRange=WBS!$X$5,HoursRange,0),0))</f>
        <v>#REF!</v>
      </c>
    </row>
    <row r="21" spans="1:22" x14ac:dyDescent="0.25">
      <c r="A21" s="1" t="s">
        <v>22</v>
      </c>
      <c r="B21" s="68" t="s">
        <v>52</v>
      </c>
      <c r="C21" s="69" t="s">
        <v>53</v>
      </c>
      <c r="D21" s="43" t="e">
        <f t="shared" ref="D21:D24" si="33">SUM(F21:I21)</f>
        <v>#REF!</v>
      </c>
      <c r="E21" s="44" t="s">
        <v>25</v>
      </c>
      <c r="F21" s="43" t="e">
        <f>SUMIF(#REF!,$B21,#REF!)</f>
        <v>#REF!</v>
      </c>
      <c r="G21" s="43" t="e">
        <f>SUMIF(#REF!,$B21,#REF!)</f>
        <v>#REF!</v>
      </c>
      <c r="H21" s="43" t="e">
        <f>SUMIF(#REF!,$B21,#REF!)</f>
        <v>#REF!</v>
      </c>
      <c r="I21" s="43"/>
      <c r="J21" s="45" t="e">
        <f ca="1">IF($E21="","",OFFSET(#REF!,MATCH(F$5,#REF!,0)+MATCH(WBS!$E21,#REF!,0)-2,0,1,1))</f>
        <v>#REF!</v>
      </c>
      <c r="K21" s="45" t="e">
        <f ca="1">IF($E21="","",OFFSET(#REF!,MATCH(G$5,#REF!,0)+MATCH(WBS!$E21,#REF!,0)-2,0,1,1))</f>
        <v>#REF!</v>
      </c>
      <c r="L21" s="45" t="e">
        <f ca="1">IF($E21="","",OFFSET(#REF!,MATCH(H$5,#REF!,0)+MATCH(WBS!$E21,#REF!,0)-2,0,1,1))</f>
        <v>#REF!</v>
      </c>
      <c r="M21" s="45"/>
      <c r="N21" s="46" t="e">
        <f t="shared" si="30"/>
        <v>#REF!</v>
      </c>
      <c r="O21" s="52" t="e">
        <f t="shared" si="0"/>
        <v>#REF!</v>
      </c>
      <c r="P21" s="53" t="e">
        <f t="shared" si="1"/>
        <v>#REF!</v>
      </c>
      <c r="Q21" s="54" t="e">
        <f>O21-IF(ISNA(VLOOKUP($B21,WBS!$B$7:$V$911,COLUMN(N21),FALSE)),0,VLOOKUP($B21,WBS!$B$7:$V$911,COLUMN(N21),FALSE))</f>
        <v>#REF!</v>
      </c>
      <c r="R21" s="55" t="e">
        <f>P21-IF(ISNA(VLOOKUP($B21,WBS!$B$7:$V$911,COLUMN(O21),FALSE)),0,VLOOKUP($B21,WBS!$B$7:$V$911,COLUMN(O21),FALSE))</f>
        <v>#REF!</v>
      </c>
      <c r="S21" s="52" t="e">
        <f>SUMIF(NumberRange,WBS!B21,HoursRange)</f>
        <v>#REF!</v>
      </c>
      <c r="T21" s="56" t="e">
        <f t="shared" ref="T21" si="34">SUMIF(NumberRange,B21,CostRange)</f>
        <v>#REF!</v>
      </c>
      <c r="U21" s="53" t="e">
        <f t="shared" ref="U21" si="35">SUMIF(NumberRange,B21,CostRange2)</f>
        <v>#REF!</v>
      </c>
      <c r="V21" s="52" t="e">
        <f t="array" ref="V21">SUM(IF(NumberRange=B21,IF(DateRange=WBS!$X$5,HoursRange,0),0))</f>
        <v>#REF!</v>
      </c>
    </row>
    <row r="22" spans="1:22" x14ac:dyDescent="0.25">
      <c r="A22" s="1" t="s">
        <v>22</v>
      </c>
      <c r="B22" s="68" t="s">
        <v>54</v>
      </c>
      <c r="C22" s="69" t="s">
        <v>55</v>
      </c>
      <c r="D22" s="43" t="e">
        <f t="shared" si="33"/>
        <v>#REF!</v>
      </c>
      <c r="E22" s="44" t="s">
        <v>25</v>
      </c>
      <c r="F22" s="43" t="e">
        <f>SUMIF(#REF!,$B22,#REF!)</f>
        <v>#REF!</v>
      </c>
      <c r="G22" s="43" t="e">
        <f>SUMIF(#REF!,$B22,#REF!)</f>
        <v>#REF!</v>
      </c>
      <c r="H22" s="43" t="e">
        <f>SUMIF(#REF!,$B22,#REF!)</f>
        <v>#REF!</v>
      </c>
      <c r="I22" s="43"/>
      <c r="J22" s="45" t="e">
        <f ca="1">IF($E22="","",OFFSET(#REF!,MATCH(F$5,#REF!,0)+MATCH(WBS!$E22,#REF!,0)-2,0,1,1))</f>
        <v>#REF!</v>
      </c>
      <c r="K22" s="45" t="e">
        <f ca="1">IF($E22="","",OFFSET(#REF!,MATCH(G$5,#REF!,0)+MATCH(WBS!$E22,#REF!,0)-2,0,1,1))</f>
        <v>#REF!</v>
      </c>
      <c r="L22" s="45" t="e">
        <f ca="1">IF($E22="","",OFFSET(#REF!,MATCH(H$5,#REF!,0)+MATCH(WBS!$E22,#REF!,0)-2,0,1,1))</f>
        <v>#REF!</v>
      </c>
      <c r="M22" s="45"/>
      <c r="N22" s="46" t="e">
        <f t="shared" si="30"/>
        <v>#REF!</v>
      </c>
      <c r="O22" s="52" t="e">
        <f t="shared" si="0"/>
        <v>#REF!</v>
      </c>
      <c r="P22" s="53" t="e">
        <f t="shared" si="1"/>
        <v>#REF!</v>
      </c>
      <c r="Q22" s="54" t="e">
        <f>O22-IF(ISNA(VLOOKUP($B22,WBS!$B$7:$V$911,COLUMN(N22),FALSE)),0,VLOOKUP($B22,WBS!$B$7:$V$911,COLUMN(N22),FALSE))</f>
        <v>#REF!</v>
      </c>
      <c r="R22" s="55" t="e">
        <f>P22-IF(ISNA(VLOOKUP($B22,WBS!$B$7:$V$911,COLUMN(O22),FALSE)),0,VLOOKUP($B22,WBS!$B$7:$V$911,COLUMN(O22),FALSE))</f>
        <v>#REF!</v>
      </c>
      <c r="S22" s="52" t="e">
        <f>SUMIF(NumberRange,WBS!B22,HoursRange)</f>
        <v>#REF!</v>
      </c>
      <c r="T22" s="56" t="e">
        <f t="shared" ref="T22" si="36">SUMIF(NumberRange,B22,CostRange)</f>
        <v>#REF!</v>
      </c>
      <c r="U22" s="53" t="e">
        <f t="shared" ref="U22" si="37">SUMIF(NumberRange,B22,CostRange2)</f>
        <v>#REF!</v>
      </c>
      <c r="V22" s="52" t="e">
        <f t="array" ref="V22">SUM(IF(NumberRange=B22,IF(DateRange=WBS!$X$5,HoursRange,0),0))</f>
        <v>#REF!</v>
      </c>
    </row>
    <row r="23" spans="1:22" x14ac:dyDescent="0.25">
      <c r="A23" s="1" t="s">
        <v>22</v>
      </c>
      <c r="B23" s="68" t="s">
        <v>56</v>
      </c>
      <c r="C23" s="69" t="s">
        <v>57</v>
      </c>
      <c r="D23" s="43" t="e">
        <f t="shared" si="33"/>
        <v>#REF!</v>
      </c>
      <c r="E23" s="44" t="s">
        <v>25</v>
      </c>
      <c r="F23" s="43" t="e">
        <f>SUMIF(#REF!,$B23,#REF!)</f>
        <v>#REF!</v>
      </c>
      <c r="G23" s="43" t="e">
        <f>SUMIF(#REF!,$B23,#REF!)</f>
        <v>#REF!</v>
      </c>
      <c r="H23" s="43" t="e">
        <f>SUMIF(#REF!,$B23,#REF!)</f>
        <v>#REF!</v>
      </c>
      <c r="I23" s="43"/>
      <c r="J23" s="45" t="e">
        <f ca="1">IF($E23="","",OFFSET(#REF!,MATCH(F$5,#REF!,0)+MATCH(WBS!$E23,#REF!,0)-2,0,1,1))</f>
        <v>#REF!</v>
      </c>
      <c r="K23" s="45" t="e">
        <f ca="1">IF($E23="","",OFFSET(#REF!,MATCH(G$5,#REF!,0)+MATCH(WBS!$E23,#REF!,0)-2,0,1,1))</f>
        <v>#REF!</v>
      </c>
      <c r="L23" s="45" t="e">
        <f ca="1">IF($E23="","",OFFSET(#REF!,MATCH(H$5,#REF!,0)+MATCH(WBS!$E23,#REF!,0)-2,0,1,1))</f>
        <v>#REF!</v>
      </c>
      <c r="M23" s="45"/>
      <c r="N23" s="46" t="e">
        <f t="shared" si="30"/>
        <v>#REF!</v>
      </c>
      <c r="O23" s="52" t="e">
        <f t="shared" si="0"/>
        <v>#REF!</v>
      </c>
      <c r="P23" s="53" t="e">
        <f t="shared" si="1"/>
        <v>#REF!</v>
      </c>
      <c r="Q23" s="54" t="e">
        <f>O23-IF(ISNA(VLOOKUP($B23,WBS!$B$7:$V$911,COLUMN(N23),FALSE)),0,VLOOKUP($B23,WBS!$B$7:$V$911,COLUMN(N23),FALSE))</f>
        <v>#REF!</v>
      </c>
      <c r="R23" s="55" t="e">
        <f>P23-IF(ISNA(VLOOKUP($B23,WBS!$B$7:$V$911,COLUMN(O23),FALSE)),0,VLOOKUP($B23,WBS!$B$7:$V$911,COLUMN(O23),FALSE))</f>
        <v>#REF!</v>
      </c>
      <c r="S23" s="52" t="e">
        <f>SUMIF(NumberRange,WBS!B23,HoursRange)</f>
        <v>#REF!</v>
      </c>
      <c r="T23" s="56" t="e">
        <f t="shared" ref="T23" si="38">SUMIF(NumberRange,B23,CostRange)</f>
        <v>#REF!</v>
      </c>
      <c r="U23" s="53" t="e">
        <f t="shared" ref="U23" si="39">SUMIF(NumberRange,B23,CostRange2)</f>
        <v>#REF!</v>
      </c>
      <c r="V23" s="52" t="e">
        <f t="array" ref="V23">SUM(IF(NumberRange=B23,IF(DateRange=WBS!$X$5,HoursRange,0),0))</f>
        <v>#REF!</v>
      </c>
    </row>
    <row r="24" spans="1:22" x14ac:dyDescent="0.25">
      <c r="A24" s="1" t="s">
        <v>22</v>
      </c>
      <c r="B24" s="68" t="s">
        <v>58</v>
      </c>
      <c r="C24" s="69" t="s">
        <v>59</v>
      </c>
      <c r="D24" s="43" t="e">
        <f t="shared" si="33"/>
        <v>#REF!</v>
      </c>
      <c r="E24" s="44" t="s">
        <v>25</v>
      </c>
      <c r="F24" s="43" t="e">
        <f>SUMIF(#REF!,$B24,#REF!)</f>
        <v>#REF!</v>
      </c>
      <c r="G24" s="43" t="e">
        <f>SUMIF(#REF!,$B24,#REF!)</f>
        <v>#REF!</v>
      </c>
      <c r="H24" s="43" t="e">
        <f>SUMIF(#REF!,$B24,#REF!)</f>
        <v>#REF!</v>
      </c>
      <c r="I24" s="43"/>
      <c r="J24" s="45" t="e">
        <f ca="1">IF($E24="","",OFFSET(#REF!,MATCH(F$5,#REF!,0)+MATCH(WBS!$E24,#REF!,0)-2,0,1,1))</f>
        <v>#REF!</v>
      </c>
      <c r="K24" s="45" t="e">
        <f ca="1">IF($E24="","",OFFSET(#REF!,MATCH(G$5,#REF!,0)+MATCH(WBS!$E24,#REF!,0)-2,0,1,1))</f>
        <v>#REF!</v>
      </c>
      <c r="L24" s="45" t="e">
        <f ca="1">IF($E24="","",OFFSET(#REF!,MATCH(H$5,#REF!,0)+MATCH(WBS!$E24,#REF!,0)-2,0,1,1))</f>
        <v>#REF!</v>
      </c>
      <c r="M24" s="45"/>
      <c r="N24" s="46" t="e">
        <f t="shared" si="30"/>
        <v>#REF!</v>
      </c>
      <c r="O24" s="52" t="e">
        <f t="shared" si="0"/>
        <v>#REF!</v>
      </c>
      <c r="P24" s="53" t="e">
        <f t="shared" si="1"/>
        <v>#REF!</v>
      </c>
      <c r="Q24" s="54" t="e">
        <f>O24-IF(ISNA(VLOOKUP($B24,WBS!$B$7:$V$911,COLUMN(N24),FALSE)),0,VLOOKUP($B24,WBS!$B$7:$V$911,COLUMN(N24),FALSE))</f>
        <v>#REF!</v>
      </c>
      <c r="R24" s="55" t="e">
        <f>P24-IF(ISNA(VLOOKUP($B24,WBS!$B$7:$V$911,COLUMN(O24),FALSE)),0,VLOOKUP($B24,WBS!$B$7:$V$911,COLUMN(O24),FALSE))</f>
        <v>#REF!</v>
      </c>
      <c r="S24" s="52" t="e">
        <f>SUMIF(NumberRange,WBS!B24,HoursRange)</f>
        <v>#REF!</v>
      </c>
      <c r="T24" s="56" t="e">
        <f t="shared" ref="T24" si="40">SUMIF(NumberRange,B24,CostRange)</f>
        <v>#REF!</v>
      </c>
      <c r="U24" s="53" t="e">
        <f t="shared" ref="U24" si="41">SUMIF(NumberRange,B24,CostRange2)</f>
        <v>#REF!</v>
      </c>
      <c r="V24" s="52" t="e">
        <f t="array" ref="V24">SUM(IF(NumberRange=B24,IF(DateRange=WBS!$X$5,HoursRange,0),0))</f>
        <v>#REF!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WBS</vt:lpstr>
    </vt:vector>
  </TitlesOfParts>
  <Company>BAE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Mattick, Nathan (UK)</dc:creator>
  <cp:lastModifiedBy>Mattick, Nathan (UK)</cp:lastModifiedBy>
  <dcterms:created xsi:type="dcterms:W3CDTF">2017-10-12T14:58:23Z</dcterms:created>
  <dcterms:modified xsi:type="dcterms:W3CDTF">2017-10-12T14:59:24Z</dcterms:modified>
</cp:coreProperties>
</file>